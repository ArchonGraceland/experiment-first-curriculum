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 Budget" sheetId="1" state="visible" r:id="rId3"/>
    <sheet name="Equipment by Modu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<sst xmlns="http://schemas.openxmlformats.org/spreadsheetml/2006/main" count="434" uniqueCount="390">
  <si>
    <t xml:space="preserve">Item</t>
  </si>
  <si>
    <t xml:space="preserve">Est. Cost</t>
  </si>
  <si>
    <t xml:space="preserve">Qty</t>
  </si>
  <si>
    <t xml:space="preserve">Subtotal</t>
  </si>
  <si>
    <t xml:space="preserve">What It Upgrades</t>
  </si>
  <si>
    <t xml:space="preserve">Modules Used</t>
  </si>
  <si>
    <t xml:space="preserve">FOUNDATIONAL LAB EQUIPMENT</t>
  </si>
  <si>
    <t xml:space="preserve">Student compound microscope (40x-1000x)</t>
  </si>
  <si>
    <t xml:space="preserve">Phone clip attachment</t>
  </si>
  <si>
    <t xml:space="preserve">B1,B2,B5,B8</t>
  </si>
  <si>
    <t xml:space="preserve">Digital multimeter (auto-ranging)</t>
  </si>
  <si>
    <t xml:space="preserve">Basic multimeter</t>
  </si>
  <si>
    <t xml:space="preserve">P4,P5,P6,AP2,C2,C6</t>
  </si>
  <si>
    <t xml:space="preserve">USB oscilloscope (Hantek or similar)</t>
  </si>
  <si>
    <t xml:space="preserve">No equivalent in budget version</t>
  </si>
  <si>
    <t xml:space="preserve">P7,AP2,P9</t>
  </si>
  <si>
    <t xml:space="preserve">Precision digital scale (0.01g)</t>
  </si>
  <si>
    <t xml:space="preserve">Kitchen scale</t>
  </si>
  <si>
    <t xml:space="preserve">C11,C14,C3,C10</t>
  </si>
  <si>
    <t xml:space="preserve">Digital pH meter</t>
  </si>
  <si>
    <t xml:space="preserve">Cabbage juice / pH strips</t>
  </si>
  <si>
    <t xml:space="preserve">C1,C9,C12,AC3,AE1</t>
  </si>
  <si>
    <t xml:space="preserve">Lab glassware set (beakers, flasks, graduated cylinders, test tubes, ring stand)</t>
  </si>
  <si>
    <t xml:space="preserve">Kitchen cups and jars</t>
  </si>
  <si>
    <t xml:space="preserve">All chemistry modules</t>
  </si>
  <si>
    <t xml:space="preserve">Bunsen burner or alcohol lamp set</t>
  </si>
  <si>
    <t xml:space="preserve">Candle</t>
  </si>
  <si>
    <t xml:space="preserve">C4,C7,C12,C14</t>
  </si>
  <si>
    <t xml:space="preserve">Safety equipment (goggles x2, gloves, apron)</t>
  </si>
  <si>
    <t xml:space="preserve">Basic goggles only</t>
  </si>
  <si>
    <t xml:space="preserve">All lab modules</t>
  </si>
  <si>
    <t xml:space="preserve">Lab notebook (bound, numbered pages)</t>
  </si>
  <si>
    <t xml:space="preserve">Loose paper</t>
  </si>
  <si>
    <t xml:space="preserve">All modules</t>
  </si>
  <si>
    <t xml:space="preserve">  Subtotal: FOUNDATIONAL LAB EQUIPMENT</t>
  </si>
  <si>
    <t xml:space="preserve">SENSORS AND DATA COLLECTION</t>
  </si>
  <si>
    <t xml:space="preserve">Photogate timer system (dual gate)</t>
  </si>
  <si>
    <t xml:space="preserve">Phone stopwatch</t>
  </si>
  <si>
    <t xml:space="preserve">P1,P2,P3,P11,P13</t>
  </si>
  <si>
    <t xml:space="preserve">Pressure sensor (USB or Bluetooth)</t>
  </si>
  <si>
    <t xml:space="preserve">Syringe estimation</t>
  </si>
  <si>
    <t xml:space="preserve">C8,P12,E4</t>
  </si>
  <si>
    <t xml:space="preserve">Temperature probe (dual, digital)</t>
  </si>
  <si>
    <t xml:space="preserve">Household thermometer</t>
  </si>
  <si>
    <t xml:space="preserve">C3,C7,C10,C14,P10,E5</t>
  </si>
  <si>
    <t xml:space="preserve">Dissolved oxygen probe</t>
  </si>
  <si>
    <t xml:space="preserve">Bubble counting</t>
  </si>
  <si>
    <t xml:space="preserve">B3,B10,AE1</t>
  </si>
  <si>
    <t xml:space="preserve">CO₂ sensor (USB)</t>
  </si>
  <si>
    <t xml:space="preserve">Baking soda proxy</t>
  </si>
  <si>
    <t xml:space="preserve">E5,B10,AE1</t>
  </si>
  <si>
    <t xml:space="preserve">Infrared thermometer (non-contact)</t>
  </si>
  <si>
    <t xml:space="preserve">No equivalent</t>
  </si>
  <si>
    <t xml:space="preserve">P9,P10,E5,C14</t>
  </si>
  <si>
    <t xml:space="preserve">Light intensity meter / lux meter</t>
  </si>
  <si>
    <t xml:space="preserve">Phone app</t>
  </si>
  <si>
    <t xml:space="preserve">B3,P8,P9</t>
  </si>
  <si>
    <t xml:space="preserve">USB weather station (temp/humidity/pressure/wind)</t>
  </si>
  <si>
    <t xml:space="preserve">Homemade barometer</t>
  </si>
  <si>
    <t xml:space="preserve">E4,E5</t>
  </si>
  <si>
    <t xml:space="preserve">  Subtotal: SENSORS AND DATA COLLECTION</t>
  </si>
  <si>
    <t xml:space="preserve">PHYSICS EQUIPMENT</t>
  </si>
  <si>
    <t xml:space="preserve">Van de Graaff generator</t>
  </si>
  <si>
    <t xml:space="preserve">Balloon static experiments</t>
  </si>
  <si>
    <t xml:space="preserve">P5</t>
  </si>
  <si>
    <t xml:space="preserve">Dynamics track with carts (1.2m)</t>
  </si>
  <si>
    <t xml:space="preserve">Ruler groove with marbles</t>
  </si>
  <si>
    <t xml:space="preserve">P1,P3,P11</t>
  </si>
  <si>
    <t xml:space="preserve">Spring scale set (various ranges)</t>
  </si>
  <si>
    <t xml:space="preserve">Luggage scale</t>
  </si>
  <si>
    <t xml:space="preserve">P1,P14,P12</t>
  </si>
  <si>
    <t xml:space="preserve">Optics kit (prism, lenses, mirrors, laser, optical bench)</t>
  </si>
  <si>
    <t xml:space="preserve">Single prism + flashlight</t>
  </si>
  <si>
    <t xml:space="preserve">P8,P9,E8</t>
  </si>
  <si>
    <t xml:space="preserve">Signal generator + speaker</t>
  </si>
  <si>
    <t xml:space="preserve">Rubber band / string only</t>
  </si>
  <si>
    <t xml:space="preserve">P7</t>
  </si>
  <si>
    <t xml:space="preserve">Projectile launcher (adjustable angle)</t>
  </si>
  <si>
    <t xml:space="preserve">Spoon catapult</t>
  </si>
  <si>
    <t xml:space="preserve">P13</t>
  </si>
  <si>
    <t xml:space="preserve">Pulley system set (single, double, compound)</t>
  </si>
  <si>
    <t xml:space="preserve">DIY string + broom handle</t>
  </si>
  <si>
    <t xml:space="preserve">P14</t>
  </si>
  <si>
    <t xml:space="preserve">Telescope (70mm refractor with tripod)</t>
  </si>
  <si>
    <t xml:space="preserve">E7,E8,AE4</t>
  </si>
  <si>
    <t xml:space="preserve">  Subtotal: PHYSICS EQUIPMENT</t>
  </si>
  <si>
    <t xml:space="preserve">CHEMISTRY EQUIPMENT</t>
  </si>
  <si>
    <t xml:space="preserve">Diffraction grating spectroscope (handheld)</t>
  </si>
  <si>
    <t xml:space="preserve">C4,P8,E8</t>
  </si>
  <si>
    <t xml:space="preserve">Metal salt set for flame tests (6 salts)</t>
  </si>
  <si>
    <t xml:space="preserve">Same but higher quality</t>
  </si>
  <si>
    <t xml:space="preserve">C4</t>
  </si>
  <si>
    <t xml:space="preserve">Sodium acetate (1kg, lab grade)</t>
  </si>
  <si>
    <t xml:space="preserve">Hand warmer packs</t>
  </si>
  <si>
    <t xml:space="preserve">C9</t>
  </si>
  <si>
    <t xml:space="preserve">Cobalt chloride (100g)</t>
  </si>
  <si>
    <t xml:space="preserve">Same</t>
  </si>
  <si>
    <t xml:space="preserve">C12</t>
  </si>
  <si>
    <t xml:space="preserve">Cloud chamber kit (with alpha source)</t>
  </si>
  <si>
    <t xml:space="preserve">DIY version</t>
  </si>
  <si>
    <t xml:space="preserve">C13,AP1</t>
  </si>
  <si>
    <t xml:space="preserve">Calorimeter (nested cup type)</t>
  </si>
  <si>
    <t xml:space="preserve">Soda can</t>
  </si>
  <si>
    <t xml:space="preserve">C14</t>
  </si>
  <si>
    <t xml:space="preserve">Titration burette and stand</t>
  </si>
  <si>
    <t xml:space="preserve">Dropper / syringe</t>
  </si>
  <si>
    <t xml:space="preserve">AC3</t>
  </si>
  <si>
    <t xml:space="preserve">Electroplating kit (copper sulfate, electrodes, power supply)</t>
  </si>
  <si>
    <t xml:space="preserve">Battery + coin DIY</t>
  </si>
  <si>
    <t xml:space="preserve">AC2</t>
  </si>
  <si>
    <t xml:space="preserve">Molecular model kit (organic/inorganic)</t>
  </si>
  <si>
    <t xml:space="preserve">Paper models</t>
  </si>
  <si>
    <t xml:space="preserve">C6,AC1,AB1</t>
  </si>
  <si>
    <t xml:space="preserve">  Subtotal: CHEMISTRY EQUIPMENT</t>
  </si>
  <si>
    <t xml:space="preserve">BIOLOGY EQUIPMENT</t>
  </si>
  <si>
    <t xml:space="preserve">Prepared slide set (mitosis, tissues, bacteria)</t>
  </si>
  <si>
    <t xml:space="preserve">Self-prepared only</t>
  </si>
  <si>
    <t xml:space="preserve">B1,B5,B8,B12</t>
  </si>
  <si>
    <t xml:space="preserve">Slide preparation kit (stains, coverslips, slides, forceps)</t>
  </si>
  <si>
    <t xml:space="preserve">Basic supplies</t>
  </si>
  <si>
    <t xml:space="preserve">B1,B2,B5</t>
  </si>
  <si>
    <t xml:space="preserve">Agar plates (pre-poured, 20-pack)</t>
  </si>
  <si>
    <t xml:space="preserve">DIY agar</t>
  </si>
  <si>
    <t xml:space="preserve">B2,B8</t>
  </si>
  <si>
    <t xml:space="preserve">DNA extraction kit (with UV light for visualization)</t>
  </si>
  <si>
    <t xml:space="preserve">DIY kitchen method</t>
  </si>
  <si>
    <t xml:space="preserve">B6,AB1</t>
  </si>
  <si>
    <t xml:space="preserve">Heart rate monitor (chest strap, Bluetooth)</t>
  </si>
  <si>
    <t xml:space="preserve">Finger on wrist</t>
  </si>
  <si>
    <t xml:space="preserve">B7,AB2</t>
  </si>
  <si>
    <t xml:space="preserve">Spirometer (simple handheld)</t>
  </si>
  <si>
    <t xml:space="preserve">Water displacement bottle</t>
  </si>
  <si>
    <t xml:space="preserve">AB2</t>
  </si>
  <si>
    <t xml:space="preserve">Dissection kit</t>
  </si>
  <si>
    <t xml:space="preserve">B1,B9,AB2</t>
  </si>
  <si>
    <t xml:space="preserve">Terrarium kit (large jar, substrate, plants, isopods)</t>
  </si>
  <si>
    <t xml:space="preserve">DIY jar</t>
  </si>
  <si>
    <t xml:space="preserve">B9</t>
  </si>
  <si>
    <t xml:space="preserve">  Subtotal: BIOLOGY EQUIPMENT</t>
  </si>
  <si>
    <t xml:space="preserve">EARTH &amp; SPACE SCIENCE EQUIPMENT</t>
  </si>
  <si>
    <t xml:space="preserve">Rock and mineral collection (30 specimens)</t>
  </si>
  <si>
    <t xml:space="preserve">Random found rocks</t>
  </si>
  <si>
    <t xml:space="preserve">E1,E3</t>
  </si>
  <si>
    <t xml:space="preserve">Mohs hardness test kit</t>
  </si>
  <si>
    <t xml:space="preserve">Nail and penny only</t>
  </si>
  <si>
    <t xml:space="preserve">E1</t>
  </si>
  <si>
    <t xml:space="preserve">Shake table (DIY or kit for earthquake engineering)</t>
  </si>
  <si>
    <t xml:space="preserve">AE2</t>
  </si>
  <si>
    <t xml:space="preserve">Stream table / erosion model tray</t>
  </si>
  <si>
    <t xml:space="preserve">Flat tray with sand</t>
  </si>
  <si>
    <t xml:space="preserve">E3</t>
  </si>
  <si>
    <t xml:space="preserve">Geiger counter (USB, basic)</t>
  </si>
  <si>
    <t xml:space="preserve">No equivalent (or borrow)</t>
  </si>
  <si>
    <t xml:space="preserve">AP1,C13</t>
  </si>
  <si>
    <t xml:space="preserve">Star chart and planisphere</t>
  </si>
  <si>
    <t xml:space="preserve">Phone app only</t>
  </si>
  <si>
    <t xml:space="preserve">E7,E8</t>
  </si>
  <si>
    <t xml:space="preserve">  Subtotal: EARTH &amp; SPACE SCIENCE EQUIPMENT</t>
  </si>
  <si>
    <t xml:space="preserve">CONSUMABLES AND RECURRING SUPPLIES</t>
  </si>
  <si>
    <t xml:space="preserve">General chemistry consumables (acids, bases, indicators, salts — 1 year supply)</t>
  </si>
  <si>
    <t xml:space="preserve">Household substitutes</t>
  </si>
  <si>
    <t xml:space="preserve">Batteries, wires, LEDs, resistors, breadboards (electronics kit)</t>
  </si>
  <si>
    <t xml:space="preserve">Minimal components</t>
  </si>
  <si>
    <t xml:space="preserve">P4,P5,P6,AP2,C2</t>
  </si>
  <si>
    <t xml:space="preserve">Seeds, plants, yeast, soil, misc biology consumables</t>
  </si>
  <si>
    <t xml:space="preserve">Grocery store items</t>
  </si>
  <si>
    <t xml:space="preserve">B3,B4,B9,B10,AB3</t>
  </si>
  <si>
    <t xml:space="preserve">Paper, printer ink, notebooks, graph paper (1 year)</t>
  </si>
  <si>
    <t xml:space="preserve">Replacement slides, coverslips, stains (1 year)</t>
  </si>
  <si>
    <t xml:space="preserve">Included above</t>
  </si>
  <si>
    <t xml:space="preserve">Biology modules</t>
  </si>
  <si>
    <t xml:space="preserve">  Subtotal: CONSUMABLES AND RECURRING SUPPLIES</t>
  </si>
  <si>
    <t xml:space="preserve">GRAND TOTAL</t>
  </si>
  <si>
    <t xml:space="preserve">BUDGET TARGET</t>
  </si>
  <si>
    <t xml:space="preserve">REMAINING BUDGET</t>
  </si>
  <si>
    <t xml:space="preserve">Module</t>
  </si>
  <si>
    <t xml:space="preserve">Concept</t>
  </si>
  <si>
    <t xml:space="preserve">Equipment Used (Upgraded)</t>
  </si>
  <si>
    <t xml:space="preserve">Est. Equipment Cost</t>
  </si>
  <si>
    <t xml:space="preserve">P1</t>
  </si>
  <si>
    <t xml:space="preserve">Forces and motion</t>
  </si>
  <si>
    <t xml:space="preserve">Photogate timers, dynamics track with carts, spring scale, precision scale</t>
  </si>
  <si>
    <t xml:space="preserve">$185</t>
  </si>
  <si>
    <t xml:space="preserve">P2</t>
  </si>
  <si>
    <t xml:space="preserve">Gravity and free fall</t>
  </si>
  <si>
    <t xml:space="preserve">Photogate timers, coffee filters, measuring tape</t>
  </si>
  <si>
    <t xml:space="preserve">$95 (shared)</t>
  </si>
  <si>
    <t xml:space="preserve">P3</t>
  </si>
  <si>
    <t xml:space="preserve">Energy conservation</t>
  </si>
  <si>
    <t xml:space="preserve">Dynamics track, photogate timers, spring scale</t>
  </si>
  <si>
    <t xml:space="preserve">$185 (shared)</t>
  </si>
  <si>
    <t xml:space="preserve">P4</t>
  </si>
  <si>
    <t xml:space="preserve">Electricity fundamentals</t>
  </si>
  <si>
    <t xml:space="preserve">Digital multimeters (x2), breadboard, LEDs, resistors, batteries</t>
  </si>
  <si>
    <t xml:space="preserve">$75</t>
  </si>
  <si>
    <t xml:space="preserve">Static electricity and charge</t>
  </si>
  <si>
    <t xml:space="preserve">Van de Graaff generator, electroscope, multimeter</t>
  </si>
  <si>
    <t xml:space="preserve">$155</t>
  </si>
  <si>
    <t xml:space="preserve">P6</t>
  </si>
  <si>
    <t xml:space="preserve">Magnetism</t>
  </si>
  <si>
    <t xml:space="preserve">Multimeter, iron filings, copper wire, iron nail, batteries, compass</t>
  </si>
  <si>
    <t xml:space="preserve">$45</t>
  </si>
  <si>
    <t xml:space="preserve">Waves and sound</t>
  </si>
  <si>
    <t xml:space="preserve">Signal generator + speaker, oscilloscope, rulers, rubber bands</t>
  </si>
  <si>
    <t xml:space="preserve">$120</t>
  </si>
  <si>
    <t xml:space="preserve">P8</t>
  </si>
  <si>
    <t xml:space="preserve">Light and optics</t>
  </si>
  <si>
    <t xml:space="preserve">Optics kit (prism, lenses, laser, optical bench), diffraction grating</t>
  </si>
  <si>
    <t xml:space="preserve">P9</t>
  </si>
  <si>
    <t xml:space="preserve">Electromagnetic spectrum</t>
  </si>
  <si>
    <t xml:space="preserve">Optics kit, infrared thermometer, UV beads, diffraction grating</t>
  </si>
  <si>
    <t xml:space="preserve">$60 (shared)</t>
  </si>
  <si>
    <t xml:space="preserve">P10</t>
  </si>
  <si>
    <t xml:space="preserve">Heat and thermodynamics</t>
  </si>
  <si>
    <t xml:space="preserve">Temperature probes (dual), infrared thermometer, various materials</t>
  </si>
  <si>
    <t xml:space="preserve">$80</t>
  </si>
  <si>
    <t xml:space="preserve">P11</t>
  </si>
  <si>
    <t xml:space="preserve">Momentum and collisions</t>
  </si>
  <si>
    <t xml:space="preserve">Dynamics track with carts, photogate timers, precision scale</t>
  </si>
  <si>
    <t xml:space="preserve">P12</t>
  </si>
  <si>
    <t xml:space="preserve">Fluid dynamics and pressure</t>
  </si>
  <si>
    <t xml:space="preserve">Pressure sensor, spring scale, modeling clay, containers, water</t>
  </si>
  <si>
    <t xml:space="preserve">$105</t>
  </si>
  <si>
    <t xml:space="preserve">Projectile motion</t>
  </si>
  <si>
    <t xml:space="preserve">Projectile launcher, photogate timer, measuring tape, protractor</t>
  </si>
  <si>
    <t xml:space="preserve">$150</t>
  </si>
  <si>
    <t xml:space="preserve">Simple machines and work</t>
  </si>
  <si>
    <t xml:space="preserve">Pulley system set, spring scales, lever materials, rope</t>
  </si>
  <si>
    <t xml:space="preserve">$55</t>
  </si>
  <si>
    <t xml:space="preserve">C1</t>
  </si>
  <si>
    <t xml:space="preserve">Acids and bases</t>
  </si>
  <si>
    <t xml:space="preserve">Digital pH meter, lab glassware, cabbage, household substances</t>
  </si>
  <si>
    <t xml:space="preserve">$50</t>
  </si>
  <si>
    <t xml:space="preserve">C2</t>
  </si>
  <si>
    <t xml:space="preserve">Electrochemistry</t>
  </si>
  <si>
    <t xml:space="preserve">Digital multimeters, fruits, zinc/copper electrodes, alligator clips, LED</t>
  </si>
  <si>
    <t xml:space="preserve">$40</t>
  </si>
  <si>
    <t xml:space="preserve">C3</t>
  </si>
  <si>
    <t xml:space="preserve">Chemical reactions</t>
  </si>
  <si>
    <t xml:space="preserve">Temperature probes, precision scale, lab glassware, baking soda, vinegar, citric acid</t>
  </si>
  <si>
    <t xml:space="preserve">$60</t>
  </si>
  <si>
    <t xml:space="preserve">Atomic structure</t>
  </si>
  <si>
    <t xml:space="preserve">Metal salt set, diffraction grating spectroscopes, alcohol lamp, safety equipment</t>
  </si>
  <si>
    <t xml:space="preserve">$100</t>
  </si>
  <si>
    <t xml:space="preserve">C5</t>
  </si>
  <si>
    <t xml:space="preserve">Periodic table</t>
  </si>
  <si>
    <t xml:space="preserve">Lab glassware, metal samples (Zn, Cu, Fe, Mg), dilute HCl, safety equipment</t>
  </si>
  <si>
    <t xml:space="preserve">C6</t>
  </si>
  <si>
    <t xml:space="preserve">Bonding</t>
  </si>
  <si>
    <t xml:space="preserve">Multimeter, molecular model kit, lab glassware, salt, sugar, oil, water</t>
  </si>
  <si>
    <t xml:space="preserve">$70</t>
  </si>
  <si>
    <t xml:space="preserve">C7</t>
  </si>
  <si>
    <t xml:space="preserve">States of matter</t>
  </si>
  <si>
    <t xml:space="preserve">Temperature probes, large syringe, lab glassware, Bunsen burner, dry ice</t>
  </si>
  <si>
    <t xml:space="preserve">C8</t>
  </si>
  <si>
    <t xml:space="preserve">Gas laws</t>
  </si>
  <si>
    <t xml:space="preserve">Pressure sensor, temperature probe, syringe, balloons, aluminum cans</t>
  </si>
  <si>
    <t xml:space="preserve">$135</t>
  </si>
  <si>
    <t xml:space="preserve">Solutions and concentration</t>
  </si>
  <si>
    <t xml:space="preserve">Precision scale, lab glassware, sodium acetate (lab grade), sugar, string</t>
  </si>
  <si>
    <t xml:space="preserve">C10</t>
  </si>
  <si>
    <t xml:space="preserve">Reaction rates</t>
  </si>
  <si>
    <t xml:space="preserve">Temperature probe, precision scale, stopwatch, effervescent tablets</t>
  </si>
  <si>
    <t xml:space="preserve">$30 (shared)</t>
  </si>
  <si>
    <t xml:space="preserve">C11</t>
  </si>
  <si>
    <t xml:space="preserve">Conservation of mass</t>
  </si>
  <si>
    <t xml:space="preserve">Precision scale (0.01g), ziplock bags, lab glassware, baking soda, vinegar</t>
  </si>
  <si>
    <t xml:space="preserve">Chemical equilibrium</t>
  </si>
  <si>
    <t xml:space="preserve">Cobalt chloride, lab glassware, Bunsen burner, pH meter, dilute HCl</t>
  </si>
  <si>
    <t xml:space="preserve">$65</t>
  </si>
  <si>
    <t xml:space="preserve">C13</t>
  </si>
  <si>
    <t xml:space="preserve">Nuclear chemistry</t>
  </si>
  <si>
    <t xml:space="preserve">Cloud chamber kit (with alpha source), coins (100), graph paper</t>
  </si>
  <si>
    <t xml:space="preserve">Thermochemistry</t>
  </si>
  <si>
    <t xml:space="preserve">Calorimeter (nested cup), temperature probes, precision scale, cheese puffs/peanuts</t>
  </si>
  <si>
    <t xml:space="preserve">$85</t>
  </si>
  <si>
    <t xml:space="preserve">B1</t>
  </si>
  <si>
    <t xml:space="preserve">Cells</t>
  </si>
  <si>
    <t xml:space="preserve">Compound microscope, prepared slide set, slide prep kit, methylene blue, onion</t>
  </si>
  <si>
    <t xml:space="preserve">$325</t>
  </si>
  <si>
    <t xml:space="preserve">B2</t>
  </si>
  <si>
    <t xml:space="preserve">Microorganisms</t>
  </si>
  <si>
    <t xml:space="preserve">Pre-poured agar plates, cotton swabs, microscope, incubation space</t>
  </si>
  <si>
    <t xml:space="preserve">B3</t>
  </si>
  <si>
    <t xml:space="preserve">Photosynthesis</t>
  </si>
  <si>
    <t xml:space="preserve">Dissolved oxygen probe, light meter, Elodea, beaker, desk lamp, baking soda</t>
  </si>
  <si>
    <t xml:space="preserve">$125</t>
  </si>
  <si>
    <t xml:space="preserve">B4</t>
  </si>
  <si>
    <t xml:space="preserve">Respiration</t>
  </si>
  <si>
    <t xml:space="preserve">Temperature probe, yeast, sugar, bottles, balloons</t>
  </si>
  <si>
    <t xml:space="preserve">$15</t>
  </si>
  <si>
    <t xml:space="preserve">B5</t>
  </si>
  <si>
    <t xml:space="preserve">Cell division</t>
  </si>
  <si>
    <t xml:space="preserve">Microscope, slide prep kit (stains), onion root tips, prepared slides</t>
  </si>
  <si>
    <t xml:space="preserve">B6</t>
  </si>
  <si>
    <t xml:space="preserve">Genetics basics</t>
  </si>
  <si>
    <t xml:space="preserve">DNA extraction kit with UV light, strawberries, Punnett square worksheets</t>
  </si>
  <si>
    <t xml:space="preserve">B7</t>
  </si>
  <si>
    <t xml:space="preserve">Homeostasis</t>
  </si>
  <si>
    <t xml:space="preserve">Heart rate monitor (Bluetooth), infrared thermometer, stopwatch, flashlight</t>
  </si>
  <si>
    <t xml:space="preserve">B8</t>
  </si>
  <si>
    <t xml:space="preserve">Immune system and disease</t>
  </si>
  <si>
    <t xml:space="preserve">Agar plates, microscope, lock-and-key model materials</t>
  </si>
  <si>
    <t xml:space="preserve">$30</t>
  </si>
  <si>
    <t xml:space="preserve">Ecosystems</t>
  </si>
  <si>
    <t xml:space="preserve">Terrarium kit (large jar, substrate, plants, isopods), observation log</t>
  </si>
  <si>
    <t xml:space="preserve">B10</t>
  </si>
  <si>
    <t xml:space="preserve">Biogeochemical cycles</t>
  </si>
  <si>
    <t xml:space="preserve">CO₂ sensor, dissolved oxygen probe, sealed containers, plants, bromothymol blue</t>
  </si>
  <si>
    <t xml:space="preserve">$200 (shared)</t>
  </si>
  <si>
    <t xml:space="preserve">B11</t>
  </si>
  <si>
    <t xml:space="preserve">Evolution and adaptation</t>
  </si>
  <si>
    <t xml:space="preserve">Colored paper, scissors, patterned backgrounds, timer — same as budget version</t>
  </si>
  <si>
    <t xml:space="preserve">$3</t>
  </si>
  <si>
    <t xml:space="preserve">B12</t>
  </si>
  <si>
    <t xml:space="preserve">Nervous system</t>
  </si>
  <si>
    <t xml:space="preserve">Ruler, toothpicks, stopwatch — same as budget version (inherently hands-on)</t>
  </si>
  <si>
    <t xml:space="preserve">$0</t>
  </si>
  <si>
    <t xml:space="preserve">Minerals and rocks</t>
  </si>
  <si>
    <t xml:space="preserve">Rock/mineral collection (30 specimens), Mohs hardness kit, streak plate</t>
  </si>
  <si>
    <t xml:space="preserve">E2</t>
  </si>
  <si>
    <t xml:space="preserve">Plate tectonics</t>
  </si>
  <si>
    <t xml:space="preserve">Heat-safe container, food coloring, hot plate, world map, USGS data</t>
  </si>
  <si>
    <t xml:space="preserve">$10 (shared)</t>
  </si>
  <si>
    <t xml:space="preserve">Weathering and erosion</t>
  </si>
  <si>
    <t xml:space="preserve">Stream table/erosion tray, chalk, limestone, vinegar, freezer</t>
  </si>
  <si>
    <t xml:space="preserve">E4</t>
  </si>
  <si>
    <t xml:space="preserve">Atmosphere and weather</t>
  </si>
  <si>
    <t xml:space="preserve">USB weather station, lab glassware, materials for barometer build</t>
  </si>
  <si>
    <t xml:space="preserve">$90</t>
  </si>
  <si>
    <t xml:space="preserve">E5</t>
  </si>
  <si>
    <t xml:space="preserve">Climate science</t>
  </si>
  <si>
    <t xml:space="preserve">CO₂ sensor, infrared thermometer, temperature probes, sealed containers</t>
  </si>
  <si>
    <t xml:space="preserve">$135 (shared)</t>
  </si>
  <si>
    <t xml:space="preserve">E6</t>
  </si>
  <si>
    <t xml:space="preserve">Geologic time</t>
  </si>
  <si>
    <t xml:space="preserve">Colored sands, clear containers, coins, small objects, graph paper</t>
  </si>
  <si>
    <t xml:space="preserve">$10</t>
  </si>
  <si>
    <t xml:space="preserve">E7</t>
  </si>
  <si>
    <t xml:space="preserve">Solar system</t>
  </si>
  <si>
    <t xml:space="preserve">Telescope, various balls for scale model, measuring tape, calculator</t>
  </si>
  <si>
    <t xml:space="preserve">$255</t>
  </si>
  <si>
    <t xml:space="preserve">E8</t>
  </si>
  <si>
    <t xml:space="preserve">Stars and the universe</t>
  </si>
  <si>
    <t xml:space="preserve">Telescope, diffraction grating spectroscope, printed spectra, balloon, marker</t>
  </si>
  <si>
    <t xml:space="preserve">$285 (shared)</t>
  </si>
  <si>
    <t xml:space="preserve">AP1</t>
  </si>
  <si>
    <t xml:space="preserve">Nuclear physics</t>
  </si>
  <si>
    <t xml:space="preserve">Geiger counter, cloud chamber kit, household items to survey</t>
  </si>
  <si>
    <t xml:space="preserve">$130</t>
  </si>
  <si>
    <t xml:space="preserve">AP2</t>
  </si>
  <si>
    <t xml:space="preserve">Electrical circuits (adv)</t>
  </si>
  <si>
    <t xml:space="preserve">Breadboard, resistors, LEDs, multimeters, oscilloscope, batteries</t>
  </si>
  <si>
    <t xml:space="preserve">$105 (shared)</t>
  </si>
  <si>
    <t xml:space="preserve">AP3</t>
  </si>
  <si>
    <t xml:space="preserve">Relativity / modern physics</t>
  </si>
  <si>
    <t xml:space="preserve">Calculator, graph paper, online simulators — minimal equipment</t>
  </si>
  <si>
    <t xml:space="preserve">AC1</t>
  </si>
  <si>
    <t xml:space="preserve">Organic chemistry basics</t>
  </si>
  <si>
    <t xml:space="preserve">Molecular model kit, PVA glue, borax, iodine solution, lab glassware</t>
  </si>
  <si>
    <t xml:space="preserve">Electrochemistry (adv)</t>
  </si>
  <si>
    <t xml:space="preserve">Electroplating kit, lab glassware, graphite electrodes, power supply</t>
  </si>
  <si>
    <t xml:space="preserve">Acid-base equilibria</t>
  </si>
  <si>
    <t xml:space="preserve">Titration burette and stand, pH meter, sodium acetate, lab glassware</t>
  </si>
  <si>
    <t xml:space="preserve">AC4</t>
  </si>
  <si>
    <t xml:space="preserve">Redox and corrosion</t>
  </si>
  <si>
    <t xml:space="preserve">Iron nails, zinc strips, copper wire, salt, containers, coatings to test</t>
  </si>
  <si>
    <t xml:space="preserve">AB1</t>
  </si>
  <si>
    <t xml:space="preserve">Molecular biology</t>
  </si>
  <si>
    <t xml:space="preserve">Molecular model kit, DNA extraction kit, paper codon cards, colored beads</t>
  </si>
  <si>
    <t xml:space="preserve">$50 (shared)</t>
  </si>
  <si>
    <t xml:space="preserve">Human body systems</t>
  </si>
  <si>
    <t xml:space="preserve">Spirometer, heart rate monitor, grip strength method, stopwatch</t>
  </si>
  <si>
    <t xml:space="preserve">$75 (shared)</t>
  </si>
  <si>
    <t xml:space="preserve">AB3</t>
  </si>
  <si>
    <t xml:space="preserve">Plant biology and tropisms</t>
  </si>
  <si>
    <t xml:space="preserve">Seeds, ziplock bags, paper towels, shoebox, desk lamp, ruler</t>
  </si>
  <si>
    <t xml:space="preserve">$5</t>
  </si>
  <si>
    <t xml:space="preserve">AE1</t>
  </si>
  <si>
    <t xml:space="preserve">Oceanography</t>
  </si>
  <si>
    <t xml:space="preserve">Clear tank, salt, food coloring, CO₂ sensor, pH meter</t>
  </si>
  <si>
    <t xml:space="preserve">Natural hazards</t>
  </si>
  <si>
    <t xml:space="preserve">Shake table, building materials (toothpicks, marshmallows, popsicle sticks)</t>
  </si>
  <si>
    <t xml:space="preserve">AE3</t>
  </si>
  <si>
    <t xml:space="preserve">Earth's resources</t>
  </si>
  <si>
    <t xml:space="preserve">Computer for research, calculator, poster board — minimal equipment</t>
  </si>
  <si>
    <t xml:space="preserve">AE4</t>
  </si>
  <si>
    <t xml:space="preserve">Deep space and cosmology</t>
  </si>
  <si>
    <t xml:space="preserve">Telescope, printed Hubble data, graph paper, balloon, marker</t>
  </si>
  <si>
    <t xml:space="preserve">$255 (shared)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</si>
</sst>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D6A4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7FAFC"/>
        <bgColor rgb="FFFFFFFF"/>
      </patternFill>
    </fill>
    <fill>
      <patternFill patternType="solid">
        <fgColor rgb="FFE8F0E8"/>
        <bgColor rgb="FFF7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7FAFC"/>
      <rgbColor rgb="FFE8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7</v>
      </c>
      <c r="B3" s="4" t="n">
        <v>250</v>
      </c>
      <c r="C3" s="3" t="n">
        <v>1</v>
      </c>
      <c r="D3" s="5" t="n">
        <f aca="false">B3*C3</f>
        <v>250</v>
      </c>
      <c r="E3" s="3" t="s">
        <v>8</v>
      </c>
      <c r="F3" s="3" t="s">
        <v>9</v>
      </c>
    </row>
    <row r="4" customFormat="false" ht="15" hidden="false" customHeight="false" outlineLevel="0" collapsed="false">
      <c r="A4" s="6" t="s">
        <v>10</v>
      </c>
      <c r="B4" s="7" t="n">
        <v>35</v>
      </c>
      <c r="C4" s="6" t="n">
        <v>2</v>
      </c>
      <c r="D4" s="8" t="n">
        <f aca="false">B4*C4</f>
        <v>70</v>
      </c>
      <c r="E4" s="6" t="s">
        <v>11</v>
      </c>
      <c r="F4" s="6" t="s">
        <v>12</v>
      </c>
    </row>
    <row r="5" customFormat="false" ht="15" hidden="false" customHeight="false" outlineLevel="0" collapsed="false">
      <c r="A5" s="3" t="s">
        <v>13</v>
      </c>
      <c r="B5" s="4" t="n">
        <v>70</v>
      </c>
      <c r="C5" s="3" t="n">
        <v>1</v>
      </c>
      <c r="D5" s="5" t="n">
        <f aca="false">B5*C5</f>
        <v>70</v>
      </c>
      <c r="E5" s="3" t="s">
        <v>14</v>
      </c>
      <c r="F5" s="3" t="s">
        <v>15</v>
      </c>
    </row>
    <row r="6" customFormat="false" ht="15" hidden="false" customHeight="false" outlineLevel="0" collapsed="false">
      <c r="A6" s="6" t="s">
        <v>16</v>
      </c>
      <c r="B6" s="7" t="n">
        <v>60</v>
      </c>
      <c r="C6" s="6" t="n">
        <v>1</v>
      </c>
      <c r="D6" s="8" t="n">
        <f aca="false">B6*C6</f>
        <v>60</v>
      </c>
      <c r="E6" s="6" t="s">
        <v>17</v>
      </c>
      <c r="F6" s="6" t="s">
        <v>18</v>
      </c>
    </row>
    <row r="7" customFormat="false" ht="15" hidden="false" customHeight="false" outlineLevel="0" collapsed="false">
      <c r="A7" s="3" t="s">
        <v>19</v>
      </c>
      <c r="B7" s="4" t="n">
        <v>45</v>
      </c>
      <c r="C7" s="3" t="n">
        <v>1</v>
      </c>
      <c r="D7" s="5" t="n">
        <f aca="false">B7*C7</f>
        <v>45</v>
      </c>
      <c r="E7" s="3" t="s">
        <v>20</v>
      </c>
      <c r="F7" s="3" t="s">
        <v>21</v>
      </c>
    </row>
    <row r="8" customFormat="false" ht="23.85" hidden="false" customHeight="false" outlineLevel="0" collapsed="false">
      <c r="A8" s="6" t="s">
        <v>22</v>
      </c>
      <c r="B8" s="7" t="n">
        <v>180</v>
      </c>
      <c r="C8" s="6" t="n">
        <v>1</v>
      </c>
      <c r="D8" s="8" t="n">
        <f aca="false">B8*C8</f>
        <v>180</v>
      </c>
      <c r="E8" s="6" t="s">
        <v>23</v>
      </c>
      <c r="F8" s="6" t="s">
        <v>24</v>
      </c>
    </row>
    <row r="9" customFormat="false" ht="15" hidden="false" customHeight="false" outlineLevel="0" collapsed="false">
      <c r="A9" s="3" t="s">
        <v>25</v>
      </c>
      <c r="B9" s="4" t="n">
        <v>40</v>
      </c>
      <c r="C9" s="3" t="n">
        <v>1</v>
      </c>
      <c r="D9" s="5" t="n">
        <f aca="false">B9*C9</f>
        <v>40</v>
      </c>
      <c r="E9" s="3" t="s">
        <v>26</v>
      </c>
      <c r="F9" s="3" t="s">
        <v>27</v>
      </c>
    </row>
    <row r="10" customFormat="false" ht="15" hidden="false" customHeight="false" outlineLevel="0" collapsed="false">
      <c r="A10" s="6" t="s">
        <v>28</v>
      </c>
      <c r="B10" s="7" t="n">
        <v>45</v>
      </c>
      <c r="C10" s="6" t="n">
        <v>1</v>
      </c>
      <c r="D10" s="8" t="n">
        <f aca="false">B10*C10</f>
        <v>45</v>
      </c>
      <c r="E10" s="6" t="s">
        <v>29</v>
      </c>
      <c r="F10" s="6" t="s">
        <v>30</v>
      </c>
    </row>
    <row r="11" customFormat="false" ht="15" hidden="false" customHeight="false" outlineLevel="0" collapsed="false">
      <c r="A11" s="3" t="s">
        <v>31</v>
      </c>
      <c r="B11" s="4" t="n">
        <v>15</v>
      </c>
      <c r="C11" s="3" t="n">
        <v>3</v>
      </c>
      <c r="D11" s="5" t="n">
        <f aca="false">B11*C11</f>
        <v>45</v>
      </c>
      <c r="E11" s="3" t="s">
        <v>32</v>
      </c>
      <c r="F11" s="3" t="s">
        <v>33</v>
      </c>
    </row>
    <row r="12" customFormat="false" ht="15" hidden="false" customHeight="false" outlineLevel="0" collapsed="false">
      <c r="A12" s="9" t="s">
        <v>34</v>
      </c>
      <c r="B12" s="10"/>
      <c r="C12" s="10"/>
      <c r="D12" s="11" t="n">
        <f aca="false">SUM(D3:D11)</f>
        <v>805</v>
      </c>
      <c r="E12" s="10"/>
      <c r="F12" s="10"/>
    </row>
    <row r="13" customFormat="false" ht="15" hidden="false" customHeight="false" outlineLevel="0" collapsed="false">
      <c r="A13" s="2" t="s">
        <v>35</v>
      </c>
      <c r="B13" s="2"/>
      <c r="C13" s="2"/>
      <c r="D13" s="2"/>
      <c r="E13" s="2"/>
      <c r="F13" s="2"/>
    </row>
    <row r="14" customFormat="false" ht="15" hidden="false" customHeight="false" outlineLevel="0" collapsed="false">
      <c r="A14" s="3" t="s">
        <v>36</v>
      </c>
      <c r="B14" s="4" t="n">
        <v>95</v>
      </c>
      <c r="C14" s="3" t="n">
        <v>1</v>
      </c>
      <c r="D14" s="5" t="n">
        <f aca="false">B14*C14</f>
        <v>95</v>
      </c>
      <c r="E14" s="3" t="s">
        <v>37</v>
      </c>
      <c r="F14" s="3" t="s">
        <v>38</v>
      </c>
    </row>
    <row r="15" customFormat="false" ht="15" hidden="false" customHeight="false" outlineLevel="0" collapsed="false">
      <c r="A15" s="6" t="s">
        <v>39</v>
      </c>
      <c r="B15" s="7" t="n">
        <v>80</v>
      </c>
      <c r="C15" s="6" t="n">
        <v>1</v>
      </c>
      <c r="D15" s="8" t="n">
        <f aca="false">B15*C15</f>
        <v>80</v>
      </c>
      <c r="E15" s="6" t="s">
        <v>40</v>
      </c>
      <c r="F15" s="6" t="s">
        <v>41</v>
      </c>
    </row>
    <row r="16" customFormat="false" ht="15" hidden="false" customHeight="false" outlineLevel="0" collapsed="false">
      <c r="A16" s="3" t="s">
        <v>42</v>
      </c>
      <c r="B16" s="4" t="n">
        <v>55</v>
      </c>
      <c r="C16" s="3" t="n">
        <v>1</v>
      </c>
      <c r="D16" s="5" t="n">
        <f aca="false">B16*C16</f>
        <v>55</v>
      </c>
      <c r="E16" s="3" t="s">
        <v>43</v>
      </c>
      <c r="F16" s="3" t="s">
        <v>44</v>
      </c>
    </row>
    <row r="17" customFormat="false" ht="15" hidden="false" customHeight="false" outlineLevel="0" collapsed="false">
      <c r="A17" s="6" t="s">
        <v>45</v>
      </c>
      <c r="B17" s="7" t="n">
        <v>90</v>
      </c>
      <c r="C17" s="6" t="n">
        <v>1</v>
      </c>
      <c r="D17" s="8" t="n">
        <f aca="false">B17*C17</f>
        <v>90</v>
      </c>
      <c r="E17" s="6" t="s">
        <v>46</v>
      </c>
      <c r="F17" s="6" t="s">
        <v>47</v>
      </c>
    </row>
    <row r="18" customFormat="false" ht="15" hidden="false" customHeight="false" outlineLevel="0" collapsed="false">
      <c r="A18" s="3" t="s">
        <v>48</v>
      </c>
      <c r="B18" s="4" t="n">
        <v>110</v>
      </c>
      <c r="C18" s="3" t="n">
        <v>1</v>
      </c>
      <c r="D18" s="5" t="n">
        <f aca="false">B18*C18</f>
        <v>110</v>
      </c>
      <c r="E18" s="3" t="s">
        <v>49</v>
      </c>
      <c r="F18" s="3" t="s">
        <v>50</v>
      </c>
    </row>
    <row r="19" customFormat="false" ht="15" hidden="false" customHeight="false" outlineLevel="0" collapsed="false">
      <c r="A19" s="6" t="s">
        <v>51</v>
      </c>
      <c r="B19" s="7" t="n">
        <v>25</v>
      </c>
      <c r="C19" s="6" t="n">
        <v>1</v>
      </c>
      <c r="D19" s="8" t="n">
        <f aca="false">B19*C19</f>
        <v>25</v>
      </c>
      <c r="E19" s="6" t="s">
        <v>52</v>
      </c>
      <c r="F19" s="6" t="s">
        <v>53</v>
      </c>
    </row>
    <row r="20" customFormat="false" ht="15" hidden="false" customHeight="false" outlineLevel="0" collapsed="false">
      <c r="A20" s="3" t="s">
        <v>54</v>
      </c>
      <c r="B20" s="4" t="n">
        <v>30</v>
      </c>
      <c r="C20" s="3" t="n">
        <v>1</v>
      </c>
      <c r="D20" s="5" t="n">
        <f aca="false">B20*C20</f>
        <v>30</v>
      </c>
      <c r="E20" s="3" t="s">
        <v>55</v>
      </c>
      <c r="F20" s="3" t="s">
        <v>56</v>
      </c>
    </row>
    <row r="21" customFormat="false" ht="23.85" hidden="false" customHeight="false" outlineLevel="0" collapsed="false">
      <c r="A21" s="6" t="s">
        <v>57</v>
      </c>
      <c r="B21" s="7" t="n">
        <v>85</v>
      </c>
      <c r="C21" s="6" t="n">
        <v>1</v>
      </c>
      <c r="D21" s="8" t="n">
        <f aca="false">B21*C21</f>
        <v>85</v>
      </c>
      <c r="E21" s="6" t="s">
        <v>58</v>
      </c>
      <c r="F21" s="6" t="s">
        <v>59</v>
      </c>
    </row>
    <row r="22" customFormat="false" ht="15" hidden="false" customHeight="false" outlineLevel="0" collapsed="false">
      <c r="A22" s="9" t="s">
        <v>60</v>
      </c>
      <c r="B22" s="10"/>
      <c r="C22" s="10"/>
      <c r="D22" s="11" t="n">
        <f aca="false">SUM(D14:D21)</f>
        <v>570</v>
      </c>
      <c r="E22" s="10"/>
      <c r="F22" s="10"/>
    </row>
    <row r="23" customFormat="false" ht="15" hidden="false" customHeight="false" outlineLevel="0" collapsed="false">
      <c r="A23" s="2" t="s">
        <v>61</v>
      </c>
      <c r="B23" s="2"/>
      <c r="C23" s="2"/>
      <c r="D23" s="2"/>
      <c r="E23" s="2"/>
      <c r="F23" s="2"/>
    </row>
    <row r="24" customFormat="false" ht="15" hidden="false" customHeight="false" outlineLevel="0" collapsed="false">
      <c r="A24" s="3" t="s">
        <v>62</v>
      </c>
      <c r="B24" s="4" t="n">
        <v>120</v>
      </c>
      <c r="C24" s="3" t="n">
        <v>1</v>
      </c>
      <c r="D24" s="5" t="n">
        <f aca="false">B24*C24</f>
        <v>120</v>
      </c>
      <c r="E24" s="3" t="s">
        <v>63</v>
      </c>
      <c r="F24" s="3" t="s">
        <v>64</v>
      </c>
    </row>
    <row r="25" customFormat="false" ht="15" hidden="false" customHeight="false" outlineLevel="0" collapsed="false">
      <c r="A25" s="6" t="s">
        <v>65</v>
      </c>
      <c r="B25" s="7" t="n">
        <v>90</v>
      </c>
      <c r="C25" s="6" t="n">
        <v>1</v>
      </c>
      <c r="D25" s="8" t="n">
        <f aca="false">B25*C25</f>
        <v>90</v>
      </c>
      <c r="E25" s="6" t="s">
        <v>66</v>
      </c>
      <c r="F25" s="6" t="s">
        <v>67</v>
      </c>
    </row>
    <row r="26" customFormat="false" ht="15" hidden="false" customHeight="false" outlineLevel="0" collapsed="false">
      <c r="A26" s="3" t="s">
        <v>68</v>
      </c>
      <c r="B26" s="4" t="n">
        <v>25</v>
      </c>
      <c r="C26" s="3" t="n">
        <v>1</v>
      </c>
      <c r="D26" s="5" t="n">
        <f aca="false">B26*C26</f>
        <v>25</v>
      </c>
      <c r="E26" s="3" t="s">
        <v>69</v>
      </c>
      <c r="F26" s="3" t="s">
        <v>70</v>
      </c>
    </row>
    <row r="27" customFormat="false" ht="23.85" hidden="false" customHeight="false" outlineLevel="0" collapsed="false">
      <c r="A27" s="6" t="s">
        <v>71</v>
      </c>
      <c r="B27" s="7" t="n">
        <v>85</v>
      </c>
      <c r="C27" s="6" t="n">
        <v>1</v>
      </c>
      <c r="D27" s="8" t="n">
        <f aca="false">B27*C27</f>
        <v>85</v>
      </c>
      <c r="E27" s="6" t="s">
        <v>72</v>
      </c>
      <c r="F27" s="6" t="s">
        <v>73</v>
      </c>
    </row>
    <row r="28" customFormat="false" ht="15" hidden="false" customHeight="false" outlineLevel="0" collapsed="false">
      <c r="A28" s="3" t="s">
        <v>74</v>
      </c>
      <c r="B28" s="4" t="n">
        <v>50</v>
      </c>
      <c r="C28" s="3" t="n">
        <v>1</v>
      </c>
      <c r="D28" s="5" t="n">
        <f aca="false">B28*C28</f>
        <v>50</v>
      </c>
      <c r="E28" s="3" t="s">
        <v>75</v>
      </c>
      <c r="F28" s="3" t="s">
        <v>76</v>
      </c>
    </row>
    <row r="29" customFormat="false" ht="15" hidden="false" customHeight="false" outlineLevel="0" collapsed="false">
      <c r="A29" s="6" t="s">
        <v>77</v>
      </c>
      <c r="B29" s="7" t="n">
        <v>55</v>
      </c>
      <c r="C29" s="6" t="n">
        <v>1</v>
      </c>
      <c r="D29" s="8" t="n">
        <f aca="false">B29*C29</f>
        <v>55</v>
      </c>
      <c r="E29" s="6" t="s">
        <v>78</v>
      </c>
      <c r="F29" s="6" t="s">
        <v>79</v>
      </c>
    </row>
    <row r="30" customFormat="false" ht="15" hidden="false" customHeight="false" outlineLevel="0" collapsed="false">
      <c r="A30" s="3" t="s">
        <v>80</v>
      </c>
      <c r="B30" s="4" t="n">
        <v>30</v>
      </c>
      <c r="C30" s="3" t="n">
        <v>1</v>
      </c>
      <c r="D30" s="5" t="n">
        <f aca="false">B30*C30</f>
        <v>30</v>
      </c>
      <c r="E30" s="3" t="s">
        <v>81</v>
      </c>
      <c r="F30" s="3" t="s">
        <v>82</v>
      </c>
    </row>
    <row r="31" customFormat="false" ht="15" hidden="false" customHeight="false" outlineLevel="0" collapsed="false">
      <c r="A31" s="6" t="s">
        <v>83</v>
      </c>
      <c r="B31" s="7" t="n">
        <v>250</v>
      </c>
      <c r="C31" s="6" t="n">
        <v>1</v>
      </c>
      <c r="D31" s="8" t="n">
        <f aca="false">B31*C31</f>
        <v>250</v>
      </c>
      <c r="E31" s="6" t="s">
        <v>52</v>
      </c>
      <c r="F31" s="6" t="s">
        <v>84</v>
      </c>
    </row>
    <row r="32" customFormat="false" ht="15" hidden="false" customHeight="false" outlineLevel="0" collapsed="false">
      <c r="A32" s="9" t="s">
        <v>85</v>
      </c>
      <c r="B32" s="10"/>
      <c r="C32" s="10"/>
      <c r="D32" s="11" t="n">
        <f aca="false">SUM(D24:D31)</f>
        <v>705</v>
      </c>
      <c r="E32" s="10"/>
      <c r="F32" s="10"/>
    </row>
    <row r="33" customFormat="false" ht="15" hidden="false" customHeight="false" outlineLevel="0" collapsed="false">
      <c r="A33" s="2" t="s">
        <v>86</v>
      </c>
      <c r="B33" s="2"/>
      <c r="C33" s="2"/>
      <c r="D33" s="2"/>
      <c r="E33" s="2"/>
      <c r="F33" s="2"/>
    </row>
    <row r="34" customFormat="false" ht="15" hidden="false" customHeight="false" outlineLevel="0" collapsed="false">
      <c r="A34" s="3" t="s">
        <v>87</v>
      </c>
      <c r="B34" s="4" t="n">
        <v>35</v>
      </c>
      <c r="C34" s="3" t="n">
        <v>2</v>
      </c>
      <c r="D34" s="5" t="n">
        <f aca="false">B34*C34</f>
        <v>70</v>
      </c>
      <c r="E34" s="3" t="s">
        <v>52</v>
      </c>
      <c r="F34" s="3" t="s">
        <v>88</v>
      </c>
    </row>
    <row r="35" customFormat="false" ht="15" hidden="false" customHeight="false" outlineLevel="0" collapsed="false">
      <c r="A35" s="6" t="s">
        <v>89</v>
      </c>
      <c r="B35" s="7" t="n">
        <v>25</v>
      </c>
      <c r="C35" s="6" t="n">
        <v>1</v>
      </c>
      <c r="D35" s="8" t="n">
        <f aca="false">B35*C35</f>
        <v>25</v>
      </c>
      <c r="E35" s="6" t="s">
        <v>90</v>
      </c>
      <c r="F35" s="6" t="s">
        <v>91</v>
      </c>
    </row>
    <row r="36" customFormat="false" ht="15" hidden="false" customHeight="false" outlineLevel="0" collapsed="false">
      <c r="A36" s="3" t="s">
        <v>92</v>
      </c>
      <c r="B36" s="4" t="n">
        <v>20</v>
      </c>
      <c r="C36" s="3" t="n">
        <v>1</v>
      </c>
      <c r="D36" s="5" t="n">
        <f aca="false">B36*C36</f>
        <v>20</v>
      </c>
      <c r="E36" s="3" t="s">
        <v>93</v>
      </c>
      <c r="F36" s="3" t="s">
        <v>94</v>
      </c>
    </row>
    <row r="37" customFormat="false" ht="15" hidden="false" customHeight="false" outlineLevel="0" collapsed="false">
      <c r="A37" s="6" t="s">
        <v>95</v>
      </c>
      <c r="B37" s="7" t="n">
        <v>18</v>
      </c>
      <c r="C37" s="6" t="n">
        <v>1</v>
      </c>
      <c r="D37" s="8" t="n">
        <f aca="false">B37*C37</f>
        <v>18</v>
      </c>
      <c r="E37" s="6" t="s">
        <v>96</v>
      </c>
      <c r="F37" s="6" t="s">
        <v>97</v>
      </c>
    </row>
    <row r="38" customFormat="false" ht="15" hidden="false" customHeight="false" outlineLevel="0" collapsed="false">
      <c r="A38" s="3" t="s">
        <v>98</v>
      </c>
      <c r="B38" s="4" t="n">
        <v>75</v>
      </c>
      <c r="C38" s="3" t="n">
        <v>1</v>
      </c>
      <c r="D38" s="5" t="n">
        <f aca="false">B38*C38</f>
        <v>75</v>
      </c>
      <c r="E38" s="3" t="s">
        <v>99</v>
      </c>
      <c r="F38" s="3" t="s">
        <v>100</v>
      </c>
    </row>
    <row r="39" customFormat="false" ht="15" hidden="false" customHeight="false" outlineLevel="0" collapsed="false">
      <c r="A39" s="6" t="s">
        <v>101</v>
      </c>
      <c r="B39" s="7" t="n">
        <v>30</v>
      </c>
      <c r="C39" s="6" t="n">
        <v>1</v>
      </c>
      <c r="D39" s="8" t="n">
        <f aca="false">B39*C39</f>
        <v>30</v>
      </c>
      <c r="E39" s="6" t="s">
        <v>102</v>
      </c>
      <c r="F39" s="6" t="s">
        <v>103</v>
      </c>
    </row>
    <row r="40" customFormat="false" ht="15" hidden="false" customHeight="false" outlineLevel="0" collapsed="false">
      <c r="A40" s="3" t="s">
        <v>104</v>
      </c>
      <c r="B40" s="4" t="n">
        <v>45</v>
      </c>
      <c r="C40" s="3" t="n">
        <v>1</v>
      </c>
      <c r="D40" s="5" t="n">
        <f aca="false">B40*C40</f>
        <v>45</v>
      </c>
      <c r="E40" s="3" t="s">
        <v>105</v>
      </c>
      <c r="F40" s="3" t="s">
        <v>106</v>
      </c>
    </row>
    <row r="41" customFormat="false" ht="23.85" hidden="false" customHeight="false" outlineLevel="0" collapsed="false">
      <c r="A41" s="6" t="s">
        <v>107</v>
      </c>
      <c r="B41" s="7" t="n">
        <v>40</v>
      </c>
      <c r="C41" s="6" t="n">
        <v>1</v>
      </c>
      <c r="D41" s="8" t="n">
        <f aca="false">B41*C41</f>
        <v>40</v>
      </c>
      <c r="E41" s="6" t="s">
        <v>108</v>
      </c>
      <c r="F41" s="6" t="s">
        <v>109</v>
      </c>
    </row>
    <row r="42" customFormat="false" ht="15" hidden="false" customHeight="false" outlineLevel="0" collapsed="false">
      <c r="A42" s="3" t="s">
        <v>110</v>
      </c>
      <c r="B42" s="4" t="n">
        <v>35</v>
      </c>
      <c r="C42" s="3" t="n">
        <v>1</v>
      </c>
      <c r="D42" s="5" t="n">
        <f aca="false">B42*C42</f>
        <v>35</v>
      </c>
      <c r="E42" s="3" t="s">
        <v>111</v>
      </c>
      <c r="F42" s="3" t="s">
        <v>112</v>
      </c>
    </row>
    <row r="43" customFormat="false" ht="15" hidden="false" customHeight="false" outlineLevel="0" collapsed="false">
      <c r="A43" s="9" t="s">
        <v>113</v>
      </c>
      <c r="B43" s="10"/>
      <c r="C43" s="10"/>
      <c r="D43" s="11" t="n">
        <f aca="false">SUM(D34:D42)</f>
        <v>358</v>
      </c>
      <c r="E43" s="10"/>
      <c r="F43" s="10"/>
    </row>
    <row r="44" customFormat="false" ht="15" hidden="false" customHeight="false" outlineLevel="0" collapsed="false">
      <c r="A44" s="2" t="s">
        <v>114</v>
      </c>
      <c r="B44" s="2"/>
      <c r="C44" s="2"/>
      <c r="D44" s="2"/>
      <c r="E44" s="2"/>
      <c r="F44" s="2"/>
    </row>
    <row r="45" customFormat="false" ht="15" hidden="false" customHeight="false" outlineLevel="0" collapsed="false">
      <c r="A45" s="3" t="s">
        <v>115</v>
      </c>
      <c r="B45" s="4" t="n">
        <v>40</v>
      </c>
      <c r="C45" s="3" t="n">
        <v>1</v>
      </c>
      <c r="D45" s="5" t="n">
        <f aca="false">B45*C45</f>
        <v>40</v>
      </c>
      <c r="E45" s="3" t="s">
        <v>116</v>
      </c>
      <c r="F45" s="3" t="s">
        <v>117</v>
      </c>
    </row>
    <row r="46" customFormat="false" ht="23.85" hidden="false" customHeight="false" outlineLevel="0" collapsed="false">
      <c r="A46" s="6" t="s">
        <v>118</v>
      </c>
      <c r="B46" s="7" t="n">
        <v>35</v>
      </c>
      <c r="C46" s="6" t="n">
        <v>1</v>
      </c>
      <c r="D46" s="8" t="n">
        <f aca="false">B46*C46</f>
        <v>35</v>
      </c>
      <c r="E46" s="6" t="s">
        <v>119</v>
      </c>
      <c r="F46" s="6" t="s">
        <v>120</v>
      </c>
    </row>
    <row r="47" customFormat="false" ht="15" hidden="false" customHeight="false" outlineLevel="0" collapsed="false">
      <c r="A47" s="3" t="s">
        <v>121</v>
      </c>
      <c r="B47" s="4" t="n">
        <v>25</v>
      </c>
      <c r="C47" s="3" t="n">
        <v>2</v>
      </c>
      <c r="D47" s="5" t="n">
        <f aca="false">B47*C47</f>
        <v>50</v>
      </c>
      <c r="E47" s="3" t="s">
        <v>122</v>
      </c>
      <c r="F47" s="3" t="s">
        <v>123</v>
      </c>
    </row>
    <row r="48" customFormat="false" ht="23.85" hidden="false" customHeight="false" outlineLevel="0" collapsed="false">
      <c r="A48" s="6" t="s">
        <v>124</v>
      </c>
      <c r="B48" s="7" t="n">
        <v>45</v>
      </c>
      <c r="C48" s="6" t="n">
        <v>1</v>
      </c>
      <c r="D48" s="8" t="n">
        <f aca="false">B48*C48</f>
        <v>45</v>
      </c>
      <c r="E48" s="6" t="s">
        <v>125</v>
      </c>
      <c r="F48" s="6" t="s">
        <v>126</v>
      </c>
    </row>
    <row r="49" customFormat="false" ht="15" hidden="false" customHeight="false" outlineLevel="0" collapsed="false">
      <c r="A49" s="3" t="s">
        <v>127</v>
      </c>
      <c r="B49" s="4" t="n">
        <v>40</v>
      </c>
      <c r="C49" s="3" t="n">
        <v>1</v>
      </c>
      <c r="D49" s="5" t="n">
        <f aca="false">B49*C49</f>
        <v>40</v>
      </c>
      <c r="E49" s="3" t="s">
        <v>128</v>
      </c>
      <c r="F49" s="3" t="s">
        <v>129</v>
      </c>
    </row>
    <row r="50" customFormat="false" ht="15" hidden="false" customHeight="false" outlineLevel="0" collapsed="false">
      <c r="A50" s="6" t="s">
        <v>130</v>
      </c>
      <c r="B50" s="7" t="n">
        <v>35</v>
      </c>
      <c r="C50" s="6" t="n">
        <v>1</v>
      </c>
      <c r="D50" s="8" t="n">
        <f aca="false">B50*C50</f>
        <v>35</v>
      </c>
      <c r="E50" s="6" t="s">
        <v>131</v>
      </c>
      <c r="F50" s="6" t="s">
        <v>132</v>
      </c>
    </row>
    <row r="51" customFormat="false" ht="15" hidden="false" customHeight="false" outlineLevel="0" collapsed="false">
      <c r="A51" s="3" t="s">
        <v>133</v>
      </c>
      <c r="B51" s="4" t="n">
        <v>25</v>
      </c>
      <c r="C51" s="3" t="n">
        <v>1</v>
      </c>
      <c r="D51" s="5" t="n">
        <f aca="false">B51*C51</f>
        <v>25</v>
      </c>
      <c r="E51" s="3" t="s">
        <v>52</v>
      </c>
      <c r="F51" s="3" t="s">
        <v>134</v>
      </c>
    </row>
    <row r="52" customFormat="false" ht="23.85" hidden="false" customHeight="false" outlineLevel="0" collapsed="false">
      <c r="A52" s="6" t="s">
        <v>135</v>
      </c>
      <c r="B52" s="7" t="n">
        <v>40</v>
      </c>
      <c r="C52" s="6" t="n">
        <v>1</v>
      </c>
      <c r="D52" s="8" t="n">
        <f aca="false">B52*C52</f>
        <v>40</v>
      </c>
      <c r="E52" s="6" t="s">
        <v>136</v>
      </c>
      <c r="F52" s="6" t="s">
        <v>137</v>
      </c>
    </row>
    <row r="53" customFormat="false" ht="15" hidden="false" customHeight="false" outlineLevel="0" collapsed="false">
      <c r="A53" s="9" t="s">
        <v>138</v>
      </c>
      <c r="B53" s="10"/>
      <c r="C53" s="10"/>
      <c r="D53" s="11" t="n">
        <f aca="false">SUM(D45:D52)</f>
        <v>310</v>
      </c>
      <c r="E53" s="10"/>
      <c r="F53" s="10"/>
    </row>
    <row r="54" customFormat="false" ht="15" hidden="false" customHeight="false" outlineLevel="0" collapsed="false">
      <c r="A54" s="2" t="s">
        <v>139</v>
      </c>
      <c r="B54" s="2"/>
      <c r="C54" s="2"/>
      <c r="D54" s="2"/>
      <c r="E54" s="2"/>
      <c r="F54" s="2"/>
    </row>
    <row r="55" customFormat="false" ht="15" hidden="false" customHeight="false" outlineLevel="0" collapsed="false">
      <c r="A55" s="3" t="s">
        <v>140</v>
      </c>
      <c r="B55" s="4" t="n">
        <v>45</v>
      </c>
      <c r="C55" s="3" t="n">
        <v>1</v>
      </c>
      <c r="D55" s="5" t="n">
        <f aca="false">B55*C55</f>
        <v>45</v>
      </c>
      <c r="E55" s="3" t="s">
        <v>141</v>
      </c>
      <c r="F55" s="3" t="s">
        <v>142</v>
      </c>
    </row>
    <row r="56" customFormat="false" ht="15" hidden="false" customHeight="false" outlineLevel="0" collapsed="false">
      <c r="A56" s="6" t="s">
        <v>143</v>
      </c>
      <c r="B56" s="7" t="n">
        <v>15</v>
      </c>
      <c r="C56" s="6" t="n">
        <v>1</v>
      </c>
      <c r="D56" s="8" t="n">
        <f aca="false">B56*C56</f>
        <v>15</v>
      </c>
      <c r="E56" s="6" t="s">
        <v>144</v>
      </c>
      <c r="F56" s="6" t="s">
        <v>145</v>
      </c>
    </row>
    <row r="57" customFormat="false" ht="23.85" hidden="false" customHeight="false" outlineLevel="0" collapsed="false">
      <c r="A57" s="3" t="s">
        <v>146</v>
      </c>
      <c r="B57" s="4" t="n">
        <v>50</v>
      </c>
      <c r="C57" s="3" t="n">
        <v>1</v>
      </c>
      <c r="D57" s="5" t="n">
        <f aca="false">B57*C57</f>
        <v>50</v>
      </c>
      <c r="E57" s="3" t="s">
        <v>52</v>
      </c>
      <c r="F57" s="3" t="s">
        <v>147</v>
      </c>
    </row>
    <row r="58" customFormat="false" ht="15" hidden="false" customHeight="false" outlineLevel="0" collapsed="false">
      <c r="A58" s="6" t="s">
        <v>148</v>
      </c>
      <c r="B58" s="7" t="n">
        <v>40</v>
      </c>
      <c r="C58" s="6" t="n">
        <v>1</v>
      </c>
      <c r="D58" s="8" t="n">
        <f aca="false">B58*C58</f>
        <v>40</v>
      </c>
      <c r="E58" s="6" t="s">
        <v>149</v>
      </c>
      <c r="F58" s="6" t="s">
        <v>150</v>
      </c>
    </row>
    <row r="59" customFormat="false" ht="15" hidden="false" customHeight="false" outlineLevel="0" collapsed="false">
      <c r="A59" s="3" t="s">
        <v>151</v>
      </c>
      <c r="B59" s="4" t="n">
        <v>55</v>
      </c>
      <c r="C59" s="3" t="n">
        <v>1</v>
      </c>
      <c r="D59" s="5" t="n">
        <f aca="false">B59*C59</f>
        <v>55</v>
      </c>
      <c r="E59" s="3" t="s">
        <v>152</v>
      </c>
      <c r="F59" s="3" t="s">
        <v>153</v>
      </c>
    </row>
    <row r="60" customFormat="false" ht="15" hidden="false" customHeight="false" outlineLevel="0" collapsed="false">
      <c r="A60" s="6" t="s">
        <v>154</v>
      </c>
      <c r="B60" s="7" t="n">
        <v>15</v>
      </c>
      <c r="C60" s="6" t="n">
        <v>1</v>
      </c>
      <c r="D60" s="8" t="n">
        <f aca="false">B60*C60</f>
        <v>15</v>
      </c>
      <c r="E60" s="6" t="s">
        <v>155</v>
      </c>
      <c r="F60" s="6" t="s">
        <v>156</v>
      </c>
    </row>
    <row r="61" customFormat="false" ht="15" hidden="false" customHeight="false" outlineLevel="0" collapsed="false">
      <c r="A61" s="9" t="s">
        <v>157</v>
      </c>
      <c r="B61" s="10"/>
      <c r="C61" s="10"/>
      <c r="D61" s="11" t="n">
        <f aca="false">SUM(D55:D60)</f>
        <v>220</v>
      </c>
      <c r="E61" s="10"/>
      <c r="F61" s="10"/>
    </row>
    <row r="62" customFormat="false" ht="15" hidden="false" customHeight="false" outlineLevel="0" collapsed="false">
      <c r="A62" s="2" t="s">
        <v>158</v>
      </c>
      <c r="B62" s="2"/>
      <c r="C62" s="2"/>
      <c r="D62" s="2"/>
      <c r="E62" s="2"/>
      <c r="F62" s="2"/>
    </row>
    <row r="63" customFormat="false" ht="23.85" hidden="false" customHeight="false" outlineLevel="0" collapsed="false">
      <c r="A63" s="3" t="s">
        <v>159</v>
      </c>
      <c r="B63" s="4" t="n">
        <v>120</v>
      </c>
      <c r="C63" s="3" t="n">
        <v>1</v>
      </c>
      <c r="D63" s="5" t="n">
        <f aca="false">B63*C63</f>
        <v>120</v>
      </c>
      <c r="E63" s="3" t="s">
        <v>160</v>
      </c>
      <c r="F63" s="3" t="s">
        <v>24</v>
      </c>
    </row>
    <row r="64" customFormat="false" ht="23.85" hidden="false" customHeight="false" outlineLevel="0" collapsed="false">
      <c r="A64" s="6" t="s">
        <v>161</v>
      </c>
      <c r="B64" s="7" t="n">
        <v>45</v>
      </c>
      <c r="C64" s="6" t="n">
        <v>1</v>
      </c>
      <c r="D64" s="8" t="n">
        <f aca="false">B64*C64</f>
        <v>45</v>
      </c>
      <c r="E64" s="6" t="s">
        <v>162</v>
      </c>
      <c r="F64" s="6" t="s">
        <v>163</v>
      </c>
    </row>
    <row r="65" customFormat="false" ht="23.85" hidden="false" customHeight="false" outlineLevel="0" collapsed="false">
      <c r="A65" s="3" t="s">
        <v>164</v>
      </c>
      <c r="B65" s="4" t="n">
        <v>40</v>
      </c>
      <c r="C65" s="3" t="n">
        <v>1</v>
      </c>
      <c r="D65" s="5" t="n">
        <f aca="false">B65*C65</f>
        <v>40</v>
      </c>
      <c r="E65" s="3" t="s">
        <v>165</v>
      </c>
      <c r="F65" s="3" t="s">
        <v>166</v>
      </c>
    </row>
    <row r="66" customFormat="false" ht="23.85" hidden="false" customHeight="false" outlineLevel="0" collapsed="false">
      <c r="A66" s="6" t="s">
        <v>167</v>
      </c>
      <c r="B66" s="7" t="n">
        <v>30</v>
      </c>
      <c r="C66" s="6" t="n">
        <v>1</v>
      </c>
      <c r="D66" s="8" t="n">
        <f aca="false">B66*C66</f>
        <v>30</v>
      </c>
      <c r="E66" s="6" t="s">
        <v>119</v>
      </c>
      <c r="F66" s="6" t="s">
        <v>33</v>
      </c>
    </row>
    <row r="67" customFormat="false" ht="15" hidden="false" customHeight="false" outlineLevel="0" collapsed="false">
      <c r="A67" s="3" t="s">
        <v>168</v>
      </c>
      <c r="B67" s="4" t="n">
        <v>25</v>
      </c>
      <c r="C67" s="3" t="n">
        <v>1</v>
      </c>
      <c r="D67" s="5" t="n">
        <f aca="false">B67*C67</f>
        <v>25</v>
      </c>
      <c r="E67" s="3" t="s">
        <v>169</v>
      </c>
      <c r="F67" s="3" t="s">
        <v>170</v>
      </c>
    </row>
    <row r="68" customFormat="false" ht="15" hidden="false" customHeight="false" outlineLevel="0" collapsed="false">
      <c r="A68" s="9" t="s">
        <v>171</v>
      </c>
      <c r="B68" s="10"/>
      <c r="C68" s="10"/>
      <c r="D68" s="11" t="n">
        <f aca="false">SUM(D63:D67)</f>
        <v>260</v>
      </c>
      <c r="E68" s="10"/>
      <c r="F68" s="10"/>
    </row>
    <row r="70" customFormat="false" ht="15" hidden="false" customHeight="false" outlineLevel="0" collapsed="false">
      <c r="A70" s="12" t="s">
        <v>172</v>
      </c>
      <c r="B70" s="13"/>
      <c r="C70" s="13"/>
      <c r="D70" s="14" t="n">
        <f aca="false">D12+D22+D32+D43+D53+D61+D68</f>
        <v>3228</v>
      </c>
      <c r="E70" s="13"/>
      <c r="F70" s="13"/>
    </row>
    <row r="72" customFormat="false" ht="15" hidden="false" customHeight="false" outlineLevel="0" collapsed="false">
      <c r="A72" s="15" t="s">
        <v>173</v>
      </c>
      <c r="D72" s="16" t="n">
        <v>5000</v>
      </c>
    </row>
    <row r="73" customFormat="false" ht="15" hidden="false" customHeight="false" outlineLevel="0" collapsed="false">
      <c r="A73" s="15" t="s">
        <v>174</v>
      </c>
      <c r="D73" s="17" t="n">
        <f aca="false">D72-D70</f>
        <v>1772</v>
      </c>
    </row>
  </sheetData>
  <mergeCells count="7">
    <mergeCell ref="A2:F2"/>
    <mergeCell ref="A13:F13"/>
    <mergeCell ref="A23:F23"/>
    <mergeCell ref="A33:F33"/>
    <mergeCell ref="A44:F44"/>
    <mergeCell ref="A54:F54"/>
    <mergeCell ref="A62:F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4"/>
  </cols>
  <sheetData>
    <row r="1" customFormat="false" ht="39.55" hidden="false" customHeight="false" outlineLevel="0" collapsed="false">
      <c r="A1" s="1" t="s">
        <v>175</v>
      </c>
      <c r="B1" s="1" t="s">
        <v>176</v>
      </c>
      <c r="C1" s="1" t="s">
        <v>177</v>
      </c>
      <c r="D1" s="1" t="s">
        <v>178</v>
      </c>
    </row>
    <row r="2" customFormat="false" ht="23.85" hidden="false" customHeight="false" outlineLevel="0" collapsed="false">
      <c r="A2" s="6" t="s">
        <v>179</v>
      </c>
      <c r="B2" s="6" t="s">
        <v>180</v>
      </c>
      <c r="C2" s="6" t="s">
        <v>181</v>
      </c>
      <c r="D2" s="6" t="s">
        <v>182</v>
      </c>
    </row>
    <row r="3" customFormat="false" ht="15" hidden="false" customHeight="false" outlineLevel="0" collapsed="false">
      <c r="A3" s="3" t="s">
        <v>183</v>
      </c>
      <c r="B3" s="3" t="s">
        <v>184</v>
      </c>
      <c r="C3" s="3" t="s">
        <v>185</v>
      </c>
      <c r="D3" s="3" t="s">
        <v>186</v>
      </c>
    </row>
    <row r="4" customFormat="false" ht="15" hidden="false" customHeight="false" outlineLevel="0" collapsed="false">
      <c r="A4" s="6" t="s">
        <v>187</v>
      </c>
      <c r="B4" s="6" t="s">
        <v>188</v>
      </c>
      <c r="C4" s="6" t="s">
        <v>189</v>
      </c>
      <c r="D4" s="6" t="s">
        <v>190</v>
      </c>
    </row>
    <row r="5" customFormat="false" ht="15" hidden="false" customHeight="false" outlineLevel="0" collapsed="false">
      <c r="A5" s="3" t="s">
        <v>191</v>
      </c>
      <c r="B5" s="3" t="s">
        <v>192</v>
      </c>
      <c r="C5" s="3" t="s">
        <v>193</v>
      </c>
      <c r="D5" s="3" t="s">
        <v>194</v>
      </c>
    </row>
    <row r="6" customFormat="false" ht="15" hidden="false" customHeight="false" outlineLevel="0" collapsed="false">
      <c r="A6" s="6" t="s">
        <v>64</v>
      </c>
      <c r="B6" s="6" t="s">
        <v>195</v>
      </c>
      <c r="C6" s="6" t="s">
        <v>196</v>
      </c>
      <c r="D6" s="6" t="s">
        <v>197</v>
      </c>
    </row>
    <row r="7" customFormat="false" ht="15" hidden="false" customHeight="false" outlineLevel="0" collapsed="false">
      <c r="A7" s="3" t="s">
        <v>198</v>
      </c>
      <c r="B7" s="3" t="s">
        <v>199</v>
      </c>
      <c r="C7" s="3" t="s">
        <v>200</v>
      </c>
      <c r="D7" s="3" t="s">
        <v>201</v>
      </c>
    </row>
    <row r="8" customFormat="false" ht="15" hidden="false" customHeight="false" outlineLevel="0" collapsed="false">
      <c r="A8" s="6" t="s">
        <v>76</v>
      </c>
      <c r="B8" s="6" t="s">
        <v>202</v>
      </c>
      <c r="C8" s="6" t="s">
        <v>203</v>
      </c>
      <c r="D8" s="6" t="s">
        <v>204</v>
      </c>
    </row>
    <row r="9" customFormat="false" ht="15" hidden="false" customHeight="false" outlineLevel="0" collapsed="false">
      <c r="A9" s="3" t="s">
        <v>205</v>
      </c>
      <c r="B9" s="3" t="s">
        <v>206</v>
      </c>
      <c r="C9" s="3" t="s">
        <v>207</v>
      </c>
      <c r="D9" s="3" t="s">
        <v>204</v>
      </c>
    </row>
    <row r="10" customFormat="false" ht="15" hidden="false" customHeight="false" outlineLevel="0" collapsed="false">
      <c r="A10" s="6" t="s">
        <v>208</v>
      </c>
      <c r="B10" s="6" t="s">
        <v>209</v>
      </c>
      <c r="C10" s="6" t="s">
        <v>210</v>
      </c>
      <c r="D10" s="6" t="s">
        <v>211</v>
      </c>
    </row>
    <row r="11" customFormat="false" ht="15" hidden="false" customHeight="false" outlineLevel="0" collapsed="false">
      <c r="A11" s="3" t="s">
        <v>212</v>
      </c>
      <c r="B11" s="3" t="s">
        <v>213</v>
      </c>
      <c r="C11" s="3" t="s">
        <v>214</v>
      </c>
      <c r="D11" s="3" t="s">
        <v>215</v>
      </c>
    </row>
    <row r="12" customFormat="false" ht="15" hidden="false" customHeight="false" outlineLevel="0" collapsed="false">
      <c r="A12" s="6" t="s">
        <v>216</v>
      </c>
      <c r="B12" s="6" t="s">
        <v>217</v>
      </c>
      <c r="C12" s="6" t="s">
        <v>218</v>
      </c>
      <c r="D12" s="6" t="s">
        <v>190</v>
      </c>
    </row>
    <row r="13" customFormat="false" ht="15" hidden="false" customHeight="false" outlineLevel="0" collapsed="false">
      <c r="A13" s="3" t="s">
        <v>219</v>
      </c>
      <c r="B13" s="3" t="s">
        <v>220</v>
      </c>
      <c r="C13" s="3" t="s">
        <v>221</v>
      </c>
      <c r="D13" s="3" t="s">
        <v>222</v>
      </c>
    </row>
    <row r="14" customFormat="false" ht="15" hidden="false" customHeight="false" outlineLevel="0" collapsed="false">
      <c r="A14" s="6" t="s">
        <v>79</v>
      </c>
      <c r="B14" s="6" t="s">
        <v>223</v>
      </c>
      <c r="C14" s="6" t="s">
        <v>224</v>
      </c>
      <c r="D14" s="6" t="s">
        <v>225</v>
      </c>
    </row>
    <row r="15" customFormat="false" ht="15" hidden="false" customHeight="false" outlineLevel="0" collapsed="false">
      <c r="A15" s="3" t="s">
        <v>82</v>
      </c>
      <c r="B15" s="3" t="s">
        <v>226</v>
      </c>
      <c r="C15" s="3" t="s">
        <v>227</v>
      </c>
      <c r="D15" s="3" t="s">
        <v>228</v>
      </c>
    </row>
    <row r="16" customFormat="false" ht="15" hidden="false" customHeight="false" outlineLevel="0" collapsed="false">
      <c r="A16" s="6" t="s">
        <v>229</v>
      </c>
      <c r="B16" s="6" t="s">
        <v>230</v>
      </c>
      <c r="C16" s="6" t="s">
        <v>231</v>
      </c>
      <c r="D16" s="6" t="s">
        <v>232</v>
      </c>
    </row>
    <row r="17" customFormat="false" ht="23.85" hidden="false" customHeight="false" outlineLevel="0" collapsed="false">
      <c r="A17" s="3" t="s">
        <v>233</v>
      </c>
      <c r="B17" s="3" t="s">
        <v>234</v>
      </c>
      <c r="C17" s="3" t="s">
        <v>235</v>
      </c>
      <c r="D17" s="3" t="s">
        <v>236</v>
      </c>
    </row>
    <row r="18" customFormat="false" ht="23.85" hidden="false" customHeight="false" outlineLevel="0" collapsed="false">
      <c r="A18" s="6" t="s">
        <v>237</v>
      </c>
      <c r="B18" s="6" t="s">
        <v>238</v>
      </c>
      <c r="C18" s="6" t="s">
        <v>239</v>
      </c>
      <c r="D18" s="6" t="s">
        <v>240</v>
      </c>
    </row>
    <row r="19" customFormat="false" ht="23.85" hidden="false" customHeight="false" outlineLevel="0" collapsed="false">
      <c r="A19" s="3" t="s">
        <v>91</v>
      </c>
      <c r="B19" s="3" t="s">
        <v>241</v>
      </c>
      <c r="C19" s="3" t="s">
        <v>242</v>
      </c>
      <c r="D19" s="3" t="s">
        <v>243</v>
      </c>
    </row>
    <row r="20" customFormat="false" ht="23.85" hidden="false" customHeight="false" outlineLevel="0" collapsed="false">
      <c r="A20" s="6" t="s">
        <v>244</v>
      </c>
      <c r="B20" s="6" t="s">
        <v>245</v>
      </c>
      <c r="C20" s="6" t="s">
        <v>246</v>
      </c>
      <c r="D20" s="6" t="s">
        <v>201</v>
      </c>
    </row>
    <row r="21" customFormat="false" ht="23.85" hidden="false" customHeight="false" outlineLevel="0" collapsed="false">
      <c r="A21" s="3" t="s">
        <v>247</v>
      </c>
      <c r="B21" s="3" t="s">
        <v>248</v>
      </c>
      <c r="C21" s="3" t="s">
        <v>249</v>
      </c>
      <c r="D21" s="3" t="s">
        <v>250</v>
      </c>
    </row>
    <row r="22" customFormat="false" ht="23.85" hidden="false" customHeight="false" outlineLevel="0" collapsed="false">
      <c r="A22" s="6" t="s">
        <v>251</v>
      </c>
      <c r="B22" s="6" t="s">
        <v>252</v>
      </c>
      <c r="C22" s="6" t="s">
        <v>253</v>
      </c>
      <c r="D22" s="6" t="s">
        <v>232</v>
      </c>
    </row>
    <row r="23" customFormat="false" ht="23.85" hidden="false" customHeight="false" outlineLevel="0" collapsed="false">
      <c r="A23" s="3" t="s">
        <v>254</v>
      </c>
      <c r="B23" s="3" t="s">
        <v>255</v>
      </c>
      <c r="C23" s="3" t="s">
        <v>256</v>
      </c>
      <c r="D23" s="3" t="s">
        <v>257</v>
      </c>
    </row>
    <row r="24" customFormat="false" ht="23.85" hidden="false" customHeight="false" outlineLevel="0" collapsed="false">
      <c r="A24" s="6" t="s">
        <v>94</v>
      </c>
      <c r="B24" s="6" t="s">
        <v>258</v>
      </c>
      <c r="C24" s="6" t="s">
        <v>259</v>
      </c>
      <c r="D24" s="6" t="s">
        <v>236</v>
      </c>
    </row>
    <row r="25" customFormat="false" ht="15" hidden="false" customHeight="false" outlineLevel="0" collapsed="false">
      <c r="A25" s="3" t="s">
        <v>260</v>
      </c>
      <c r="B25" s="3" t="s">
        <v>261</v>
      </c>
      <c r="C25" s="3" t="s">
        <v>262</v>
      </c>
      <c r="D25" s="3" t="s">
        <v>263</v>
      </c>
    </row>
    <row r="26" customFormat="false" ht="23.85" hidden="false" customHeight="false" outlineLevel="0" collapsed="false">
      <c r="A26" s="6" t="s">
        <v>264</v>
      </c>
      <c r="B26" s="6" t="s">
        <v>265</v>
      </c>
      <c r="C26" s="6" t="s">
        <v>266</v>
      </c>
      <c r="D26" s="6" t="s">
        <v>211</v>
      </c>
    </row>
    <row r="27" customFormat="false" ht="15" hidden="false" customHeight="false" outlineLevel="0" collapsed="false">
      <c r="A27" s="3" t="s">
        <v>97</v>
      </c>
      <c r="B27" s="3" t="s">
        <v>267</v>
      </c>
      <c r="C27" s="3" t="s">
        <v>268</v>
      </c>
      <c r="D27" s="3" t="s">
        <v>269</v>
      </c>
    </row>
    <row r="28" customFormat="false" ht="15" hidden="false" customHeight="false" outlineLevel="0" collapsed="false">
      <c r="A28" s="6" t="s">
        <v>270</v>
      </c>
      <c r="B28" s="6" t="s">
        <v>271</v>
      </c>
      <c r="C28" s="6" t="s">
        <v>272</v>
      </c>
      <c r="D28" s="6" t="s">
        <v>194</v>
      </c>
    </row>
    <row r="29" customFormat="false" ht="23.85" hidden="false" customHeight="false" outlineLevel="0" collapsed="false">
      <c r="A29" s="3" t="s">
        <v>103</v>
      </c>
      <c r="B29" s="3" t="s">
        <v>273</v>
      </c>
      <c r="C29" s="3" t="s">
        <v>274</v>
      </c>
      <c r="D29" s="3" t="s">
        <v>275</v>
      </c>
    </row>
    <row r="30" customFormat="false" ht="23.85" hidden="false" customHeight="false" outlineLevel="0" collapsed="false">
      <c r="A30" s="6" t="s">
        <v>276</v>
      </c>
      <c r="B30" s="6" t="s">
        <v>277</v>
      </c>
      <c r="C30" s="6" t="s">
        <v>278</v>
      </c>
      <c r="D30" s="6" t="s">
        <v>279</v>
      </c>
    </row>
    <row r="31" customFormat="false" ht="23.85" hidden="false" customHeight="false" outlineLevel="0" collapsed="false">
      <c r="A31" s="3" t="s">
        <v>280</v>
      </c>
      <c r="B31" s="3" t="s">
        <v>281</v>
      </c>
      <c r="C31" s="3" t="s">
        <v>282</v>
      </c>
      <c r="D31" s="3" t="s">
        <v>269</v>
      </c>
    </row>
    <row r="32" customFormat="false" ht="23.85" hidden="false" customHeight="false" outlineLevel="0" collapsed="false">
      <c r="A32" s="6" t="s">
        <v>283</v>
      </c>
      <c r="B32" s="6" t="s">
        <v>284</v>
      </c>
      <c r="C32" s="6" t="s">
        <v>285</v>
      </c>
      <c r="D32" s="6" t="s">
        <v>286</v>
      </c>
    </row>
    <row r="33" customFormat="false" ht="15" hidden="false" customHeight="false" outlineLevel="0" collapsed="false">
      <c r="A33" s="3" t="s">
        <v>287</v>
      </c>
      <c r="B33" s="3" t="s">
        <v>288</v>
      </c>
      <c r="C33" s="3" t="s">
        <v>289</v>
      </c>
      <c r="D33" s="3" t="s">
        <v>290</v>
      </c>
    </row>
    <row r="34" customFormat="false" ht="15" hidden="false" customHeight="false" outlineLevel="0" collapsed="false">
      <c r="A34" s="6" t="s">
        <v>291</v>
      </c>
      <c r="B34" s="6" t="s">
        <v>292</v>
      </c>
      <c r="C34" s="6" t="s">
        <v>293</v>
      </c>
      <c r="D34" s="6" t="s">
        <v>263</v>
      </c>
    </row>
    <row r="35" customFormat="false" ht="23.85" hidden="false" customHeight="false" outlineLevel="0" collapsed="false">
      <c r="A35" s="3" t="s">
        <v>294</v>
      </c>
      <c r="B35" s="3" t="s">
        <v>295</v>
      </c>
      <c r="C35" s="3" t="s">
        <v>296</v>
      </c>
      <c r="D35" s="3" t="s">
        <v>232</v>
      </c>
    </row>
    <row r="36" customFormat="false" ht="23.85" hidden="false" customHeight="false" outlineLevel="0" collapsed="false">
      <c r="A36" s="6" t="s">
        <v>297</v>
      </c>
      <c r="B36" s="6" t="s">
        <v>298</v>
      </c>
      <c r="C36" s="6" t="s">
        <v>299</v>
      </c>
      <c r="D36" s="6" t="s">
        <v>269</v>
      </c>
    </row>
    <row r="37" customFormat="false" ht="15" hidden="false" customHeight="false" outlineLevel="0" collapsed="false">
      <c r="A37" s="3" t="s">
        <v>300</v>
      </c>
      <c r="B37" s="3" t="s">
        <v>301</v>
      </c>
      <c r="C37" s="3" t="s">
        <v>302</v>
      </c>
      <c r="D37" s="3" t="s">
        <v>303</v>
      </c>
    </row>
    <row r="38" customFormat="false" ht="15" hidden="false" customHeight="false" outlineLevel="0" collapsed="false">
      <c r="A38" s="6" t="s">
        <v>137</v>
      </c>
      <c r="B38" s="6" t="s">
        <v>304</v>
      </c>
      <c r="C38" s="6" t="s">
        <v>305</v>
      </c>
      <c r="D38" s="6" t="s">
        <v>236</v>
      </c>
    </row>
    <row r="39" customFormat="false" ht="23.85" hidden="false" customHeight="false" outlineLevel="0" collapsed="false">
      <c r="A39" s="3" t="s">
        <v>306</v>
      </c>
      <c r="B39" s="3" t="s">
        <v>307</v>
      </c>
      <c r="C39" s="3" t="s">
        <v>308</v>
      </c>
      <c r="D39" s="3" t="s">
        <v>309</v>
      </c>
    </row>
    <row r="40" customFormat="false" ht="23.85" hidden="false" customHeight="false" outlineLevel="0" collapsed="false">
      <c r="A40" s="6" t="s">
        <v>310</v>
      </c>
      <c r="B40" s="6" t="s">
        <v>311</v>
      </c>
      <c r="C40" s="6" t="s">
        <v>312</v>
      </c>
      <c r="D40" s="6" t="s">
        <v>313</v>
      </c>
    </row>
    <row r="41" customFormat="false" ht="23.85" hidden="false" customHeight="false" outlineLevel="0" collapsed="false">
      <c r="A41" s="3" t="s">
        <v>314</v>
      </c>
      <c r="B41" s="3" t="s">
        <v>315</v>
      </c>
      <c r="C41" s="3" t="s">
        <v>316</v>
      </c>
      <c r="D41" s="3" t="s">
        <v>317</v>
      </c>
    </row>
    <row r="42" customFormat="false" ht="23.85" hidden="false" customHeight="false" outlineLevel="0" collapsed="false">
      <c r="A42" s="6" t="s">
        <v>145</v>
      </c>
      <c r="B42" s="6" t="s">
        <v>318</v>
      </c>
      <c r="C42" s="6" t="s">
        <v>319</v>
      </c>
      <c r="D42" s="6" t="s">
        <v>240</v>
      </c>
    </row>
    <row r="43" customFormat="false" ht="23.85" hidden="false" customHeight="false" outlineLevel="0" collapsed="false">
      <c r="A43" s="3" t="s">
        <v>320</v>
      </c>
      <c r="B43" s="3" t="s">
        <v>321</v>
      </c>
      <c r="C43" s="3" t="s">
        <v>322</v>
      </c>
      <c r="D43" s="3" t="s">
        <v>323</v>
      </c>
    </row>
    <row r="44" customFormat="false" ht="15" hidden="false" customHeight="false" outlineLevel="0" collapsed="false">
      <c r="A44" s="6" t="s">
        <v>150</v>
      </c>
      <c r="B44" s="6" t="s">
        <v>324</v>
      </c>
      <c r="C44" s="6" t="s">
        <v>325</v>
      </c>
      <c r="D44" s="6" t="s">
        <v>201</v>
      </c>
    </row>
    <row r="45" customFormat="false" ht="15" hidden="false" customHeight="false" outlineLevel="0" collapsed="false">
      <c r="A45" s="3" t="s">
        <v>326</v>
      </c>
      <c r="B45" s="3" t="s">
        <v>327</v>
      </c>
      <c r="C45" s="3" t="s">
        <v>328</v>
      </c>
      <c r="D45" s="3" t="s">
        <v>329</v>
      </c>
    </row>
    <row r="46" customFormat="false" ht="23.85" hidden="false" customHeight="false" outlineLevel="0" collapsed="false">
      <c r="A46" s="6" t="s">
        <v>330</v>
      </c>
      <c r="B46" s="6" t="s">
        <v>331</v>
      </c>
      <c r="C46" s="6" t="s">
        <v>332</v>
      </c>
      <c r="D46" s="6" t="s">
        <v>333</v>
      </c>
    </row>
    <row r="47" customFormat="false" ht="15" hidden="false" customHeight="false" outlineLevel="0" collapsed="false">
      <c r="A47" s="3" t="s">
        <v>334</v>
      </c>
      <c r="B47" s="3" t="s">
        <v>335</v>
      </c>
      <c r="C47" s="3" t="s">
        <v>336</v>
      </c>
      <c r="D47" s="3" t="s">
        <v>337</v>
      </c>
    </row>
    <row r="48" customFormat="false" ht="15" hidden="false" customHeight="false" outlineLevel="0" collapsed="false">
      <c r="A48" s="6" t="s">
        <v>338</v>
      </c>
      <c r="B48" s="6" t="s">
        <v>339</v>
      </c>
      <c r="C48" s="6" t="s">
        <v>340</v>
      </c>
      <c r="D48" s="6" t="s">
        <v>341</v>
      </c>
    </row>
    <row r="49" customFormat="false" ht="23.85" hidden="false" customHeight="false" outlineLevel="0" collapsed="false">
      <c r="A49" s="3" t="s">
        <v>342</v>
      </c>
      <c r="B49" s="3" t="s">
        <v>343</v>
      </c>
      <c r="C49" s="3" t="s">
        <v>344</v>
      </c>
      <c r="D49" s="3" t="s">
        <v>345</v>
      </c>
    </row>
    <row r="50" customFormat="false" ht="15" hidden="false" customHeight="false" outlineLevel="0" collapsed="false">
      <c r="A50" s="6" t="s">
        <v>346</v>
      </c>
      <c r="B50" s="6" t="s">
        <v>347</v>
      </c>
      <c r="C50" s="6" t="s">
        <v>348</v>
      </c>
      <c r="D50" s="6" t="s">
        <v>349</v>
      </c>
    </row>
    <row r="51" customFormat="false" ht="15" hidden="false" customHeight="false" outlineLevel="0" collapsed="false">
      <c r="A51" s="3" t="s">
        <v>350</v>
      </c>
      <c r="B51" s="3" t="s">
        <v>351</v>
      </c>
      <c r="C51" s="3" t="s">
        <v>352</v>
      </c>
      <c r="D51" s="3" t="s">
        <v>353</v>
      </c>
    </row>
    <row r="52" customFormat="false" ht="15" hidden="false" customHeight="false" outlineLevel="0" collapsed="false">
      <c r="A52" s="6" t="s">
        <v>354</v>
      </c>
      <c r="B52" s="6" t="s">
        <v>355</v>
      </c>
      <c r="C52" s="6" t="s">
        <v>356</v>
      </c>
      <c r="D52" s="6" t="s">
        <v>317</v>
      </c>
    </row>
    <row r="53" customFormat="false" ht="15" hidden="false" customHeight="false" outlineLevel="0" collapsed="false">
      <c r="A53" s="3" t="s">
        <v>357</v>
      </c>
      <c r="B53" s="3" t="s">
        <v>358</v>
      </c>
      <c r="C53" s="3" t="s">
        <v>359</v>
      </c>
      <c r="D53" s="3" t="s">
        <v>236</v>
      </c>
    </row>
    <row r="54" customFormat="false" ht="15" hidden="false" customHeight="false" outlineLevel="0" collapsed="false">
      <c r="A54" s="6" t="s">
        <v>109</v>
      </c>
      <c r="B54" s="6" t="s">
        <v>360</v>
      </c>
      <c r="C54" s="6" t="s">
        <v>361</v>
      </c>
      <c r="D54" s="6" t="s">
        <v>250</v>
      </c>
    </row>
    <row r="55" customFormat="false" ht="23.85" hidden="false" customHeight="false" outlineLevel="0" collapsed="false">
      <c r="A55" s="3" t="s">
        <v>106</v>
      </c>
      <c r="B55" s="3" t="s">
        <v>362</v>
      </c>
      <c r="C55" s="3" t="s">
        <v>363</v>
      </c>
      <c r="D55" s="3" t="s">
        <v>329</v>
      </c>
    </row>
    <row r="56" customFormat="false" ht="15" hidden="false" customHeight="false" outlineLevel="0" collapsed="false">
      <c r="A56" s="6" t="s">
        <v>364</v>
      </c>
      <c r="B56" s="6" t="s">
        <v>365</v>
      </c>
      <c r="C56" s="6" t="s">
        <v>366</v>
      </c>
      <c r="D56" s="6" t="s">
        <v>290</v>
      </c>
    </row>
    <row r="57" customFormat="false" ht="23.85" hidden="false" customHeight="false" outlineLevel="0" collapsed="false">
      <c r="A57" s="3" t="s">
        <v>367</v>
      </c>
      <c r="B57" s="3" t="s">
        <v>368</v>
      </c>
      <c r="C57" s="3" t="s">
        <v>369</v>
      </c>
      <c r="D57" s="3" t="s">
        <v>370</v>
      </c>
    </row>
    <row r="58" customFormat="false" ht="15" hidden="false" customHeight="false" outlineLevel="0" collapsed="false">
      <c r="A58" s="6" t="s">
        <v>132</v>
      </c>
      <c r="B58" s="6" t="s">
        <v>371</v>
      </c>
      <c r="C58" s="6" t="s">
        <v>372</v>
      </c>
      <c r="D58" s="6" t="s">
        <v>373</v>
      </c>
    </row>
    <row r="59" customFormat="false" ht="15" hidden="false" customHeight="false" outlineLevel="0" collapsed="false">
      <c r="A59" s="3" t="s">
        <v>374</v>
      </c>
      <c r="B59" s="3" t="s">
        <v>375</v>
      </c>
      <c r="C59" s="3" t="s">
        <v>376</v>
      </c>
      <c r="D59" s="3" t="s">
        <v>377</v>
      </c>
    </row>
    <row r="60" customFormat="false" ht="15" hidden="false" customHeight="false" outlineLevel="0" collapsed="false">
      <c r="A60" s="6" t="s">
        <v>378</v>
      </c>
      <c r="B60" s="6" t="s">
        <v>379</v>
      </c>
      <c r="C60" s="6" t="s">
        <v>380</v>
      </c>
      <c r="D60" s="6" t="s">
        <v>263</v>
      </c>
    </row>
    <row r="61" customFormat="false" ht="23.85" hidden="false" customHeight="false" outlineLevel="0" collapsed="false">
      <c r="A61" s="3" t="s">
        <v>147</v>
      </c>
      <c r="B61" s="3" t="s">
        <v>381</v>
      </c>
      <c r="C61" s="3" t="s">
        <v>382</v>
      </c>
      <c r="D61" s="3" t="s">
        <v>240</v>
      </c>
    </row>
    <row r="62" customFormat="false" ht="23.85" hidden="false" customHeight="false" outlineLevel="0" collapsed="false">
      <c r="A62" s="6" t="s">
        <v>383</v>
      </c>
      <c r="B62" s="6" t="s">
        <v>384</v>
      </c>
      <c r="C62" s="6" t="s">
        <v>385</v>
      </c>
      <c r="D62" s="6" t="s">
        <v>377</v>
      </c>
    </row>
    <row r="63" customFormat="false" ht="15" hidden="false" customHeight="false" outlineLevel="0" collapsed="false">
      <c r="A63" s="3" t="s">
        <v>386</v>
      </c>
      <c r="B63" s="3" t="s">
        <v>387</v>
      </c>
      <c r="C63" s="3" t="s">
        <v>388</v>
      </c>
      <c r="D63" s="3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2026-03-16T16:33:04Z</dcterms:created>
  <dc:creator>openpyxl</dc:creator>
  <dc:description/>
  <dc:language>en-US</dc:language>
  <cp:lastModifiedBy/>
  <dcterms:modified xsi:type="dcterms:W3CDTF">2026-03-16T16:33:04Z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